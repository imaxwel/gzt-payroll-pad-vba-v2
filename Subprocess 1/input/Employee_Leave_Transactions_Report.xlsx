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765" yWindow="765" windowWidth="19635" windowHeight="15225" firstSheet="1" activeTab="7"/>
  </bookViews>
  <sheets>
    <sheet name="Last month" sheetId="3" r:id="rId1"/>
    <sheet name="Sum" sheetId="1" r:id="rId2"/>
    <sheet name="Approved" sheetId="2" r:id="rId3"/>
    <sheet name="AL" sheetId="4" r:id="rId4"/>
    <sheet name="AL Pivot" sheetId="5" r:id="rId5"/>
    <sheet name="Maternity" sheetId="7" r:id="rId6"/>
    <sheet name="Sick" sheetId="6" r:id="rId7"/>
    <sheet name="Unpaid" sheetId="9" r:id="rId8"/>
    <sheet name="PPTO" sheetId="8" r:id="rId9"/>
  </sheets>
  <definedNames>
    <definedName name="_xlnm._FilterDatabase" localSheetId="3" hidden="1">AL!$A$1:$U$5</definedName>
    <definedName name="_xlnm._FilterDatabase" localSheetId="2" hidden="1">Approved!$A$1:$U$10</definedName>
    <definedName name="_xlnm._FilterDatabase" localSheetId="0" hidden="1">'Last month'!$A$1:$U$3</definedName>
    <definedName name="_xlnm._FilterDatabase" localSheetId="6" hidden="1">Sick!$A$1:$T$3</definedName>
    <definedName name="_xlnm._FilterDatabase" localSheetId="1" hidden="1">Sum!$A$1:$U$12</definedName>
  </definedNames>
  <calcPr calcId="162913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8" l="1"/>
  <c r="S2" i="9"/>
  <c r="S10" i="2"/>
  <c r="S9" i="2"/>
  <c r="S8" i="2"/>
  <c r="S7" i="2"/>
  <c r="T7" i="2" s="1"/>
  <c r="S6" i="2"/>
  <c r="T6" i="2" s="1"/>
  <c r="S5" i="2"/>
  <c r="T5" i="2" s="1"/>
  <c r="S4" i="2"/>
  <c r="T4" i="2" s="1"/>
  <c r="S3" i="2"/>
  <c r="T3" i="2" s="1"/>
  <c r="S2" i="2"/>
  <c r="T2" i="2" s="1"/>
  <c r="S12" i="1"/>
  <c r="S11" i="1"/>
  <c r="S10" i="1"/>
  <c r="S3" i="3"/>
  <c r="S2" i="3"/>
</calcChain>
</file>

<file path=xl/sharedStrings.xml><?xml version="1.0" encoding="utf-8"?>
<sst xmlns="http://schemas.openxmlformats.org/spreadsheetml/2006/main" count="549" uniqueCount="96">
  <si>
    <t>ISID</t>
  </si>
  <si>
    <t>NAME</t>
  </si>
  <si>
    <t>WIN</t>
  </si>
  <si>
    <t>DEPT</t>
  </si>
  <si>
    <t>DIVISION</t>
  </si>
  <si>
    <t>EMPLOYEE GROUP CODE</t>
  </si>
  <si>
    <t>EMPLOYEE GROUP NAME</t>
  </si>
  <si>
    <t>FROM DATE</t>
  </si>
  <si>
    <t>TO DATE</t>
  </si>
  <si>
    <t>APPLY DATE</t>
  </si>
  <si>
    <t>APPROVAL DATE</t>
  </si>
  <si>
    <t>APPROVAL NAME</t>
  </si>
  <si>
    <t>TOTAL DAYS</t>
  </si>
  <si>
    <t>REMAIN DAY</t>
  </si>
  <si>
    <t>LEAVE TYPE</t>
  </si>
  <si>
    <t>STATUS</t>
  </si>
  <si>
    <t>辅助列</t>
  </si>
  <si>
    <t>CC</t>
  </si>
  <si>
    <t>CCCCC</t>
  </si>
  <si>
    <t/>
  </si>
  <si>
    <t>2025/05/12</t>
  </si>
  <si>
    <t>2025/08/16</t>
  </si>
  <si>
    <t>2025/02/25</t>
  </si>
  <si>
    <t>M3</t>
  </si>
  <si>
    <t>97</t>
  </si>
  <si>
    <t>-</t>
  </si>
  <si>
    <t>Maternity Leave</t>
  </si>
  <si>
    <t>Approved</t>
  </si>
  <si>
    <t>D3</t>
  </si>
  <si>
    <t>FF</t>
  </si>
  <si>
    <t>FFFFFFFF</t>
  </si>
  <si>
    <t>2025/06/27</t>
  </si>
  <si>
    <t>2025/07/11</t>
  </si>
  <si>
    <t>2025/04/21</t>
  </si>
  <si>
    <t>10</t>
  </si>
  <si>
    <t>7</t>
  </si>
  <si>
    <t>Annual Leave</t>
  </si>
  <si>
    <t>2025/06/26</t>
  </si>
  <si>
    <t>11</t>
  </si>
  <si>
    <t>6</t>
  </si>
  <si>
    <t>Cancelled</t>
  </si>
  <si>
    <t>12630172</t>
  </si>
  <si>
    <t>2025/07/30</t>
  </si>
  <si>
    <t>2025/08/04</t>
  </si>
  <si>
    <t>2025/07/22</t>
  </si>
  <si>
    <t>4</t>
  </si>
  <si>
    <t>11.5</t>
  </si>
  <si>
    <t>Pending Approval</t>
  </si>
  <si>
    <t>12630016</t>
  </si>
  <si>
    <t>AA</t>
  </si>
  <si>
    <t>AAAAA</t>
  </si>
  <si>
    <t>2025/07/29</t>
  </si>
  <si>
    <t>M1</t>
  </si>
  <si>
    <t>Sick Leave</t>
  </si>
  <si>
    <t>Dept 1</t>
  </si>
  <si>
    <t>BB</t>
  </si>
  <si>
    <t>BBBBB</t>
  </si>
  <si>
    <t>2025/07/21</t>
  </si>
  <si>
    <t>2025/07/25</t>
  </si>
  <si>
    <t>M2</t>
  </si>
  <si>
    <t>Dept 2</t>
  </si>
  <si>
    <t>DD</t>
  </si>
  <si>
    <t>DDDDD</t>
  </si>
  <si>
    <t>2025/05/15</t>
  </si>
  <si>
    <t>M4</t>
  </si>
  <si>
    <t>12</t>
  </si>
  <si>
    <t>D4</t>
  </si>
  <si>
    <t>EE</t>
  </si>
  <si>
    <t>EEEEE</t>
  </si>
  <si>
    <t>2025/07/23</t>
  </si>
  <si>
    <t>M5</t>
  </si>
  <si>
    <t>D5</t>
  </si>
  <si>
    <t>Paid Parental Time Off(PPTO)</t>
  </si>
  <si>
    <t>Unpaid Leave</t>
  </si>
  <si>
    <t>Vlookup上月</t>
  </si>
  <si>
    <t>Cost center</t>
  </si>
  <si>
    <t>Department</t>
  </si>
  <si>
    <t>Month</t>
  </si>
  <si>
    <t>4444444445842458422025/05/152025/05/15</t>
  </si>
  <si>
    <t>7月</t>
  </si>
  <si>
    <t>5555555545866458702025/07/232025/07/30</t>
  </si>
  <si>
    <t>Delete</t>
  </si>
  <si>
    <t>8月</t>
  </si>
  <si>
    <t>Sum of TOTAL DAYS</t>
  </si>
  <si>
    <t>Column Labels</t>
  </si>
  <si>
    <t>Row Labels</t>
  </si>
  <si>
    <t>Grand Total</t>
  </si>
  <si>
    <t>7月_上月</t>
  </si>
  <si>
    <t>8月_当月</t>
  </si>
  <si>
    <t>333333332025/05/122025/08/162025/02/252025/02/25</t>
  </si>
  <si>
    <t>6月结算</t>
  </si>
  <si>
    <t>7月结算</t>
  </si>
  <si>
    <t>8月结算</t>
  </si>
  <si>
    <t>111111112025/07/292025/07/292025/07/292025/07/29</t>
  </si>
  <si>
    <t>222222222025/07/212025/07/252025/07/302025/07/30</t>
  </si>
  <si>
    <r>
      <rPr>
        <sz val="11"/>
        <color rgb="FFFF0000"/>
        <rFont val="等线"/>
        <charset val="134"/>
      </rPr>
      <t>连续四个</t>
    </r>
    <r>
      <rPr>
        <sz val="11"/>
        <color rgb="FFFF0000"/>
        <rFont val="Calibri"/>
        <family val="2"/>
      </rPr>
      <t>working days</t>
    </r>
    <r>
      <rPr>
        <sz val="11"/>
        <color rgb="FFFF0000"/>
        <rFont val="等线"/>
        <charset val="134"/>
      </rPr>
      <t>及以上结算病假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</si>
</sst>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indexed="8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等线"/>
      <charset val="134"/>
    </font>
    <font>
      <b/>
      <sz val="11"/>
      <color indexed="8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Calibri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1" fillId="0" borderId="2" xfId="0" applyFont="1" applyBorder="1" applyAlignment="1"/>
    <xf numFmtId="0" fontId="1" fillId="0" borderId="2" xfId="0" applyFont="1" applyBorder="1" applyAlignment="1">
      <alignment vertical="top"/>
    </xf>
    <xf numFmtId="0" fontId="0" fillId="2" borderId="1" xfId="0" applyFill="1" applyBorder="1" applyAlignment="1"/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NumberFormat="1" applyBorder="1" applyAlignment="1"/>
    <xf numFmtId="0" fontId="0" fillId="2" borderId="1" xfId="0" applyNumberFormat="1" applyFill="1" applyBorder="1" applyAlignment="1"/>
    <xf numFmtId="0" fontId="4" fillId="0" borderId="1" xfId="0" applyFont="1" applyFill="1" applyBorder="1" applyAlignment="1"/>
    <xf numFmtId="0" fontId="4" fillId="0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14" fontId="0" fillId="0" borderId="0" xfId="0" applyNumberFormat="1">
      <alignment vertical="center"/>
    </xf>
    <xf numFmtId="14" fontId="0" fillId="0" borderId="0" xfId="0" applyNumberFormat="1" applyFill="1" applyAlignment="1"/>
    <xf numFmtId="14" fontId="0" fillId="2" borderId="0" xfId="0" applyNumberFormat="1" applyFill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4" fontId="0" fillId="0" borderId="1" xfId="0" applyNumberFormat="1" applyFill="1" applyBorder="1" applyAlignment="1"/>
    <xf numFmtId="0" fontId="0" fillId="3" borderId="1" xfId="0" applyFill="1" applyBorder="1" applyAlignment="1"/>
    <xf numFmtId="14" fontId="0" fillId="3" borderId="1" xfId="0" applyNumberFormat="1" applyFill="1" applyBorder="1" applyAlignment="1"/>
    <xf numFmtId="14" fontId="0" fillId="2" borderId="1" xfId="0" applyNumberFormat="1" applyFill="1" applyBorder="1" applyAlignment="1"/>
    <xf numFmtId="0" fontId="0" fillId="4" borderId="1" xfId="0" applyFill="1" applyBorder="1" applyAlignment="1"/>
    <xf numFmtId="14" fontId="0" fillId="4" borderId="1" xfId="0" applyNumberFormat="1" applyFill="1" applyBorder="1" applyAlignment="1"/>
    <xf numFmtId="0" fontId="0" fillId="0" borderId="1" xfId="0" applyNumberFormat="1" applyFill="1" applyBorder="1" applyAlignment="1"/>
    <xf numFmtId="0" fontId="0" fillId="3" borderId="1" xfId="0" applyNumberFormat="1" applyFill="1" applyBorder="1" applyAlignment="1"/>
    <xf numFmtId="0" fontId="0" fillId="4" borderId="1" xfId="0" applyNumberFormat="1" applyFill="1" applyBorder="1" applyAlignment="1"/>
    <xf numFmtId="0" fontId="0" fillId="0" borderId="0" xfId="0" applyFill="1" applyBorder="1" applyAlignment="1"/>
  </cellXfs>
  <cellStyles count="1">
    <cellStyle name="常规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v, Aileen" refreshedDate="45905.656373263897" createdVersion="8" refreshedVersion="8" minRefreshableVersion="3" recordCount="2">
  <cacheSource type="worksheet">
    <worksheetSource ref="C1:M3" sheet="Sick"/>
  </cacheSource>
  <cacheFields count="11">
    <cacheField name="WIN" numFmtId="0">
      <sharedItems containsMixedTypes="1" containsNumber="1" containsInteger="1" count="16">
        <n v="11111111"/>
        <n v="22222222"/>
        <s v="33990029" u="1"/>
        <s v="51058535" u="1"/>
        <s v="51428108" u="1"/>
        <s v="51294969" u="1"/>
        <s v="51372768" u="1"/>
        <s v="51447820" u="1"/>
        <s v="51402209" u="1"/>
        <s v="51426441" u="1"/>
        <s v="51501335" u="1"/>
        <s v="10190450" u="1"/>
        <s v="51217719" u="1"/>
        <s v="51232018" u="1"/>
        <s v="33900406" u="1"/>
        <s v="51113131" u="1"/>
      </sharedItems>
    </cacheField>
    <cacheField name="DEPT" numFmtId="0">
      <sharedItems containsSemiMixedTypes="0" containsNonDate="0" containsString="0"/>
    </cacheField>
    <cacheField name="DIVISION" numFmtId="0">
      <sharedItems containsSemiMixedTypes="0" containsNonDate="0" containsString="0"/>
    </cacheField>
    <cacheField name="EMPLOYEE GROUP CODE" numFmtId="0">
      <sharedItems containsSemiMixedTypes="0" containsNonDate="0" containsString="0"/>
    </cacheField>
    <cacheField name="EMPLOYEE GROUP NAME" numFmtId="0">
      <sharedItems containsSemiMixedTypes="0" containsNonDate="0" containsString="0"/>
    </cacheField>
    <cacheField name="FROM DATE" numFmtId="0">
      <sharedItems containsSemiMixedTypes="0" containsNonDate="0" containsString="0"/>
    </cacheField>
    <cacheField name="TO DATE" numFmtId="0">
      <sharedItems containsSemiMixedTypes="0" containsNonDate="0" containsString="0"/>
    </cacheField>
    <cacheField name="APPLY DATE" numFmtId="0">
      <sharedItems containsSemiMixedTypes="0" containsNonDate="0" containsString="0"/>
    </cacheField>
    <cacheField name="APPROVAL DATE" numFmtId="0">
      <sharedItems containsSemiMixedTypes="0" containsNonDate="0" containsString="0"/>
    </cacheField>
    <cacheField name="APPROVAL NAME" numFmtId="0">
      <sharedItems containsSemiMixedTypes="0" containsNonDate="0" containsString="0"/>
    </cacheField>
    <cacheField name="TOTAL DAY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v, Aileen" refreshedDate="45905.661141782402" createdVersion="8" refreshedVersion="8" minRefreshableVersion="3" recordCount="4">
  <cacheSource type="worksheet">
    <worksheetSource ref="A1:U5" sheet="AL"/>
  </cacheSource>
  <cacheFields count="21">
    <cacheField name="ISID" numFmtId="0">
      <sharedItems containsSemiMixedTypes="0" containsNonDate="0" containsString="0"/>
    </cacheField>
    <cacheField name="NAME" numFmtId="0">
      <sharedItems containsSemiMixedTypes="0" containsNonDate="0" containsString="0"/>
    </cacheField>
    <cacheField name="WIN" numFmtId="0">
      <sharedItems containsSemiMixedTypes="0" containsString="0" containsNumber="1" containsInteger="1" minValue="0" maxValue="55555555" count="2">
        <n v="44444444"/>
        <n v="55555555"/>
      </sharedItems>
    </cacheField>
    <cacheField name="DEPT" numFmtId="0">
      <sharedItems containsSemiMixedTypes="0" containsNonDate="0" containsString="0"/>
    </cacheField>
    <cacheField name="DIVISION" numFmtId="0">
      <sharedItems containsSemiMixedTypes="0" containsNonDate="0" containsString="0"/>
    </cacheField>
    <cacheField name="EMPLOYEE GROUP CODE" numFmtId="0">
      <sharedItems containsSemiMixedTypes="0" containsNonDate="0" containsString="0"/>
    </cacheField>
    <cacheField name="EMPLOYEE GROUP NAME" numFmtId="0">
      <sharedItems containsSemiMixedTypes="0" containsNonDate="0" containsString="0"/>
    </cacheField>
    <cacheField name="FROM DATE" numFmtId="14">
      <sharedItems containsSemiMixedTypes="0" containsNonDate="0" containsString="0"/>
    </cacheField>
    <cacheField name="TO DATE" numFmtId="14">
      <sharedItems containsSemiMixedTypes="0" containsNonDate="0" containsString="0"/>
    </cacheField>
    <cacheField name="APPLY DATE" numFmtId="0">
      <sharedItems containsSemiMixedTypes="0" containsNonDate="0" containsString="0"/>
    </cacheField>
    <cacheField name="APPROVAL DATE" numFmtId="0">
      <sharedItems containsSemiMixedTypes="0" containsNonDate="0" containsString="0"/>
    </cacheField>
    <cacheField name="APPROVAL NAME" numFmtId="0">
      <sharedItems containsSemiMixedTypes="0" containsNonDate="0" containsString="0"/>
    </cacheField>
    <cacheField name="TOTAL DAYS" numFmtId="0">
      <sharedItems containsSemiMixedTypes="0" containsNonDate="0" containsString="0"/>
    </cacheField>
    <cacheField name="REMAIN DAY" numFmtId="0">
      <sharedItems containsSemiMixedTypes="0" containsNonDate="0" containsString="0"/>
    </cacheField>
    <cacheField name="LEAVE TYPE" numFmtId="0">
      <sharedItems containsSemiMixedTypes="0" containsNonDate="0" containsString="0"/>
    </cacheField>
    <cacheField name="STATUS" numFmtId="0">
      <sharedItems containsSemiMixedTypes="0" containsNonDate="0" containsString="0"/>
    </cacheField>
    <cacheField name="Cost center" numFmtId="0">
      <sharedItems containsSemiMixedTypes="0" containsNonDate="0" containsString="0"/>
    </cacheField>
    <cacheField name="Department" numFmtId="0">
      <sharedItems containsSemiMixedTypes="0" containsNonDate="0" containsString="0"/>
    </cacheField>
    <cacheField name="辅助列" numFmtId="0">
      <sharedItems containsSemiMixedTypes="0" containsNonDate="0" containsString="0"/>
    </cacheField>
    <cacheField name="Vlookup上月" numFmtId="0">
      <sharedItems containsSemiMixedTypes="0" containsNonDate="0" containsString="0"/>
    </cacheField>
    <cacheField name="Month" numFmtId="0">
      <sharedItems count="3">
        <s v="7月"/>
        <s v="Delete"/>
        <s v="8月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2630001"/>
    <s v=""/>
    <s v=""/>
    <s v=""/>
    <s v="2025/07/29"/>
    <s v="2025/07/29"/>
    <s v="2025/07/29"/>
    <s v="2025/07/29"/>
    <s v="M1"/>
    <n v="1"/>
  </r>
  <r>
    <x v="1"/>
    <n v="12630002"/>
    <s v=""/>
    <s v=""/>
    <s v=""/>
    <s v="2025/07/21"/>
    <s v="2025/07/25"/>
    <s v="2025/07/30"/>
    <s v="2025/07/30"/>
    <s v="M2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DD"/>
    <s v="DDDDD"/>
    <x v="0"/>
    <n v="12630001"/>
    <s v=""/>
    <s v=""/>
    <s v=""/>
    <d v="2025-07-04T00:00:00"/>
    <d v="2025-07-04T00:00:00"/>
    <s v="2025/05/15"/>
    <s v="2025/05/15"/>
    <s v="M4"/>
    <n v="1"/>
    <s v="12"/>
    <s v="Annual Leave"/>
    <s v="Approved"/>
    <n v="12630001"/>
    <s v="D4"/>
    <s v="4444444445842458422025/05/152025/05/15"/>
    <e v="#N/A"/>
    <x v="0"/>
  </r>
  <r>
    <s v="EE"/>
    <s v="EEEEE"/>
    <x v="1"/>
    <n v="12630001"/>
    <s v=""/>
    <s v=""/>
    <s v=""/>
    <d v="2025-07-28T00:00:00"/>
    <d v="2025-08-01T00:00:00"/>
    <s v="2025/07/23"/>
    <s v="2025/07/30"/>
    <s v="M5"/>
    <n v="5"/>
    <s v="12"/>
    <s v="Annual Leave"/>
    <s v="Approved"/>
    <n v="12630001"/>
    <s v="D5"/>
    <s v="5555555545866458702025/07/232025/07/30"/>
    <e v="#N/A"/>
    <x v="1"/>
  </r>
  <r>
    <m/>
    <m/>
    <x v="1"/>
    <m/>
    <m/>
    <m/>
    <m/>
    <d v="2025-07-28T00:00:00"/>
    <d v="2025-07-31T00:00:00"/>
    <m/>
    <m/>
    <m/>
    <n v="4"/>
    <m/>
    <m/>
    <m/>
    <m/>
    <m/>
    <m/>
    <m/>
    <x v="0"/>
  </r>
  <r>
    <m/>
    <m/>
    <x v="1"/>
    <m/>
    <m/>
    <m/>
    <m/>
    <d v="2025-08-01T00:00:00"/>
    <d v="2025-08-01T00:00:00"/>
    <m/>
    <m/>
    <m/>
    <n v="1"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E7" firstHeaderRow="1" firstDataRow="2" firstDataCol="1"/>
  <pivotFields count="21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Sum of TOTAL DAY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C7:D10" firstHeaderRow="1" firstDataRow="1" firstDataCol="1"/>
  <pivotFields count="11">
    <pivotField axis="axisRow" showAll="0">
      <items count="17">
        <item m="1" x="11"/>
        <item m="1" x="14"/>
        <item m="1" x="2"/>
        <item m="1" x="3"/>
        <item m="1" x="15"/>
        <item m="1" x="12"/>
        <item m="1" x="13"/>
        <item m="1" x="5"/>
        <item m="1" x="6"/>
        <item m="1" x="8"/>
        <item m="1" x="9"/>
        <item m="1" x="4"/>
        <item m="1" x="7"/>
        <item m="1" x="10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 v="14"/>
    </i>
    <i>
      <x v="15"/>
    </i>
    <i t="grand">
      <x/>
    </i>
  </rowItems>
  <colItems count="1">
    <i/>
  </colItems>
  <dataFields count="1">
    <dataField name="Sum of TOTAL DAYS" fld="10" baseField="0" baseItem="0"/>
  </dataFields>
  <formats count="2">
    <format dxfId="1">
      <pivotArea collapsedLevelsAreSubtotals="1" fieldPosition="0">
        <references count="1">
          <reference field="0" count="1">
            <x v="1"/>
          </reference>
        </references>
      </pivotArea>
    </format>
    <format dxfId="0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opLeftCell="C1" workbookViewId="0">
      <selection activeCell="C3" sqref="A3:XFD3"/>
    </sheetView>
  </sheetViews>
  <sheetFormatPr defaultColWidth="9" defaultRowHeight="14.25"/>
  <cols>
    <col min="3" max="3" width="9.1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5" t="s">
        <v>16</v>
      </c>
      <c r="T1" s="6"/>
      <c r="U1" s="1"/>
    </row>
    <row r="2" spans="1:21">
      <c r="A2" s="2" t="s">
        <v>17</v>
      </c>
      <c r="B2" s="2" t="s">
        <v>18</v>
      </c>
      <c r="C2" s="2">
        <v>33333333</v>
      </c>
      <c r="D2" s="2">
        <v>12630003</v>
      </c>
      <c r="E2" s="2" t="s">
        <v>19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>
        <v>12630003</v>
      </c>
      <c r="R2" s="2" t="s">
        <v>28</v>
      </c>
      <c r="S2" t="str">
        <f t="shared" ref="S2:S3" si="0">C2&amp;H2&amp;I2&amp;J2&amp;K2</f>
        <v>333333332025/05/122025/08/162025/02/252025/02/25</v>
      </c>
    </row>
    <row r="3" spans="1:21">
      <c r="A3" s="1" t="s">
        <v>29</v>
      </c>
      <c r="B3" s="1" t="s">
        <v>30</v>
      </c>
      <c r="C3" s="1">
        <v>66666666</v>
      </c>
      <c r="D3" s="2">
        <v>12630003</v>
      </c>
      <c r="E3" s="1" t="s">
        <v>19</v>
      </c>
      <c r="F3" s="1" t="s">
        <v>19</v>
      </c>
      <c r="G3" s="1" t="s">
        <v>19</v>
      </c>
      <c r="H3" s="1" t="s">
        <v>31</v>
      </c>
      <c r="I3" s="1" t="s">
        <v>32</v>
      </c>
      <c r="J3" s="1" t="s">
        <v>33</v>
      </c>
      <c r="K3" s="1" t="s">
        <v>33</v>
      </c>
      <c r="L3" s="2" t="s">
        <v>23</v>
      </c>
      <c r="M3" s="1" t="s">
        <v>34</v>
      </c>
      <c r="N3" s="1" t="s">
        <v>35</v>
      </c>
      <c r="O3" s="1" t="s">
        <v>36</v>
      </c>
      <c r="P3" s="1" t="s">
        <v>27</v>
      </c>
      <c r="Q3" s="2">
        <v>12630003</v>
      </c>
      <c r="R3" s="2" t="s">
        <v>28</v>
      </c>
      <c r="S3" t="str">
        <f t="shared" si="0"/>
        <v>666666662025/06/272025/07/112025/04/212025/04/21</v>
      </c>
    </row>
  </sheetData>
  <autoFilter ref="A1:U3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showGridLines="0" workbookViewId="0">
      <selection activeCell="A11" sqref="A11:XFD12"/>
    </sheetView>
  </sheetViews>
  <sheetFormatPr defaultColWidth="9" defaultRowHeight="14.25"/>
  <cols>
    <col min="1" max="1" width="10.75" customWidth="1"/>
    <col min="2" max="2" width="18.25" customWidth="1"/>
    <col min="3" max="3" width="10.375" customWidth="1"/>
    <col min="4" max="4" width="10.625" customWidth="1"/>
    <col min="5" max="5" width="9.375" customWidth="1"/>
    <col min="6" max="7" width="23.875" customWidth="1"/>
    <col min="8" max="8" width="11.875" customWidth="1"/>
    <col min="9" max="9" width="11.625" customWidth="1"/>
    <col min="10" max="10" width="12.125" customWidth="1"/>
    <col min="11" max="11" width="16.25" customWidth="1"/>
    <col min="12" max="12" width="28.375" customWidth="1"/>
    <col min="13" max="13" width="12.5" customWidth="1"/>
    <col min="14" max="14" width="12.625" customWidth="1"/>
    <col min="15" max="15" width="21.25" customWidth="1"/>
    <col min="16" max="16" width="17.125" customWidth="1"/>
    <col min="17" max="17" width="10.375" customWidth="1"/>
    <col min="18" max="18" width="44.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2" spans="1:21">
      <c r="A2" s="2" t="s">
        <v>17</v>
      </c>
      <c r="B2" s="2" t="s">
        <v>18</v>
      </c>
      <c r="C2" s="2">
        <v>33333333</v>
      </c>
      <c r="D2" s="2">
        <v>12630003</v>
      </c>
      <c r="E2" s="1" t="s">
        <v>19</v>
      </c>
      <c r="F2" s="1" t="s">
        <v>19</v>
      </c>
      <c r="G2" s="1" t="s">
        <v>19</v>
      </c>
      <c r="H2" s="1" t="s">
        <v>37</v>
      </c>
      <c r="I2" s="1" t="s">
        <v>32</v>
      </c>
      <c r="J2" s="1" t="s">
        <v>33</v>
      </c>
      <c r="K2" s="1" t="s">
        <v>19</v>
      </c>
      <c r="L2" s="2" t="s">
        <v>23</v>
      </c>
      <c r="M2" s="1" t="s">
        <v>38</v>
      </c>
      <c r="N2" s="1" t="s">
        <v>39</v>
      </c>
      <c r="O2" s="1" t="s">
        <v>36</v>
      </c>
      <c r="P2" s="1" t="s">
        <v>40</v>
      </c>
      <c r="Q2" s="1" t="s">
        <v>41</v>
      </c>
      <c r="R2" s="2" t="s">
        <v>28</v>
      </c>
    </row>
    <row r="3" spans="1:21">
      <c r="A3" s="2" t="s">
        <v>17</v>
      </c>
      <c r="B3" s="2" t="s">
        <v>18</v>
      </c>
      <c r="C3" s="2">
        <v>33333333</v>
      </c>
      <c r="D3" s="2">
        <v>12630003</v>
      </c>
      <c r="E3" s="1" t="s">
        <v>19</v>
      </c>
      <c r="F3" s="1" t="s">
        <v>19</v>
      </c>
      <c r="G3" s="1" t="s">
        <v>19</v>
      </c>
      <c r="H3" s="1" t="s">
        <v>42</v>
      </c>
      <c r="I3" s="1" t="s">
        <v>43</v>
      </c>
      <c r="J3" s="1" t="s">
        <v>44</v>
      </c>
      <c r="K3" s="1" t="s">
        <v>19</v>
      </c>
      <c r="L3" s="2" t="s">
        <v>23</v>
      </c>
      <c r="M3" s="1" t="s">
        <v>45</v>
      </c>
      <c r="N3" s="1" t="s">
        <v>46</v>
      </c>
      <c r="O3" s="1" t="s">
        <v>36</v>
      </c>
      <c r="P3" s="1" t="s">
        <v>47</v>
      </c>
      <c r="Q3" s="1" t="s">
        <v>48</v>
      </c>
      <c r="R3" s="2" t="s">
        <v>28</v>
      </c>
    </row>
    <row r="4" spans="1:21">
      <c r="A4" s="2" t="s">
        <v>17</v>
      </c>
      <c r="B4" s="2" t="s">
        <v>18</v>
      </c>
      <c r="C4" s="2">
        <v>33333333</v>
      </c>
      <c r="D4" s="2">
        <v>12630003</v>
      </c>
      <c r="E4" s="2" t="s">
        <v>19</v>
      </c>
      <c r="F4" s="2" t="s">
        <v>19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  <c r="P4" s="2" t="s">
        <v>27</v>
      </c>
      <c r="Q4" s="2">
        <v>12630003</v>
      </c>
      <c r="R4" s="2" t="s">
        <v>28</v>
      </c>
    </row>
    <row r="5" spans="1:21">
      <c r="A5" s="2" t="s">
        <v>49</v>
      </c>
      <c r="B5" s="2" t="s">
        <v>50</v>
      </c>
      <c r="C5" s="2">
        <v>11111111</v>
      </c>
      <c r="D5" s="2">
        <v>12630001</v>
      </c>
      <c r="E5" s="2" t="s">
        <v>19</v>
      </c>
      <c r="F5" s="2" t="s">
        <v>19</v>
      </c>
      <c r="G5" s="2" t="s">
        <v>19</v>
      </c>
      <c r="H5" s="2" t="s">
        <v>51</v>
      </c>
      <c r="I5" s="2" t="s">
        <v>51</v>
      </c>
      <c r="J5" s="2" t="s">
        <v>51</v>
      </c>
      <c r="K5" s="2" t="s">
        <v>51</v>
      </c>
      <c r="L5" s="2" t="s">
        <v>52</v>
      </c>
      <c r="M5" s="31">
        <v>1</v>
      </c>
      <c r="N5" s="2" t="s">
        <v>25</v>
      </c>
      <c r="O5" s="2" t="s">
        <v>53</v>
      </c>
      <c r="P5" s="2" t="s">
        <v>27</v>
      </c>
      <c r="Q5" s="2">
        <v>12630001</v>
      </c>
      <c r="R5" s="2" t="s">
        <v>54</v>
      </c>
    </row>
    <row r="6" spans="1:21">
      <c r="A6" s="2" t="s">
        <v>55</v>
      </c>
      <c r="B6" s="2" t="s">
        <v>56</v>
      </c>
      <c r="C6" s="2">
        <v>22222222</v>
      </c>
      <c r="D6" s="2">
        <v>12630002</v>
      </c>
      <c r="E6" s="2" t="s">
        <v>19</v>
      </c>
      <c r="F6" s="2" t="s">
        <v>19</v>
      </c>
      <c r="G6" s="2" t="s">
        <v>19</v>
      </c>
      <c r="H6" s="2" t="s">
        <v>57</v>
      </c>
      <c r="I6" s="2" t="s">
        <v>58</v>
      </c>
      <c r="J6" s="2" t="s">
        <v>42</v>
      </c>
      <c r="K6" s="2" t="s">
        <v>42</v>
      </c>
      <c r="L6" s="2" t="s">
        <v>59</v>
      </c>
      <c r="M6" s="31">
        <v>5</v>
      </c>
      <c r="N6" s="2" t="s">
        <v>25</v>
      </c>
      <c r="O6" s="2" t="s">
        <v>53</v>
      </c>
      <c r="P6" s="2" t="s">
        <v>27</v>
      </c>
      <c r="Q6" s="2">
        <v>12630002</v>
      </c>
      <c r="R6" s="2" t="s">
        <v>60</v>
      </c>
    </row>
    <row r="7" spans="1:21">
      <c r="A7" s="2" t="s">
        <v>17</v>
      </c>
      <c r="B7" s="2" t="s">
        <v>18</v>
      </c>
      <c r="C7" s="2">
        <v>33333333</v>
      </c>
      <c r="D7" s="2">
        <v>12630003</v>
      </c>
      <c r="E7" s="2" t="s">
        <v>19</v>
      </c>
      <c r="F7" s="2" t="s">
        <v>19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27</v>
      </c>
      <c r="Q7" s="2">
        <v>12630003</v>
      </c>
      <c r="R7" s="2" t="s">
        <v>28</v>
      </c>
    </row>
    <row r="8" spans="1:21">
      <c r="A8" s="2" t="s">
        <v>61</v>
      </c>
      <c r="B8" s="2" t="s">
        <v>62</v>
      </c>
      <c r="C8" s="2">
        <v>44444444</v>
      </c>
      <c r="D8" s="2">
        <v>12630001</v>
      </c>
      <c r="E8" s="2" t="s">
        <v>19</v>
      </c>
      <c r="F8" s="2" t="s">
        <v>19</v>
      </c>
      <c r="G8" s="2" t="s">
        <v>19</v>
      </c>
      <c r="H8" s="25">
        <v>45842</v>
      </c>
      <c r="I8" s="25">
        <v>45842</v>
      </c>
      <c r="J8" s="2" t="s">
        <v>63</v>
      </c>
      <c r="K8" s="2" t="s">
        <v>63</v>
      </c>
      <c r="L8" s="2" t="s">
        <v>64</v>
      </c>
      <c r="M8" s="31">
        <v>1</v>
      </c>
      <c r="N8" s="2" t="s">
        <v>65</v>
      </c>
      <c r="O8" s="2" t="s">
        <v>36</v>
      </c>
      <c r="P8" s="2" t="s">
        <v>27</v>
      </c>
      <c r="Q8" s="2">
        <v>12630001</v>
      </c>
      <c r="R8" s="2" t="s">
        <v>66</v>
      </c>
    </row>
    <row r="9" spans="1:21">
      <c r="A9" s="2" t="s">
        <v>67</v>
      </c>
      <c r="B9" s="2" t="s">
        <v>68</v>
      </c>
      <c r="C9" s="2">
        <v>55555555</v>
      </c>
      <c r="D9" s="2">
        <v>12630001</v>
      </c>
      <c r="E9" s="2" t="s">
        <v>19</v>
      </c>
      <c r="F9" s="2" t="s">
        <v>19</v>
      </c>
      <c r="G9" s="2" t="s">
        <v>19</v>
      </c>
      <c r="H9" s="25">
        <v>45866</v>
      </c>
      <c r="I9" s="25">
        <v>45870</v>
      </c>
      <c r="J9" s="2" t="s">
        <v>69</v>
      </c>
      <c r="K9" s="2" t="s">
        <v>42</v>
      </c>
      <c r="L9" s="2" t="s">
        <v>70</v>
      </c>
      <c r="M9" s="31">
        <v>5</v>
      </c>
      <c r="N9" s="2" t="s">
        <v>65</v>
      </c>
      <c r="O9" s="2" t="s">
        <v>36</v>
      </c>
      <c r="P9" s="2" t="s">
        <v>27</v>
      </c>
      <c r="Q9" s="2">
        <v>12630001</v>
      </c>
      <c r="R9" s="2" t="s">
        <v>71</v>
      </c>
    </row>
    <row r="10" spans="1:21">
      <c r="A10" s="1" t="s">
        <v>29</v>
      </c>
      <c r="B10" s="1" t="s">
        <v>30</v>
      </c>
      <c r="C10" s="1">
        <v>66666666</v>
      </c>
      <c r="D10" s="2">
        <v>12630003</v>
      </c>
      <c r="E10" s="1" t="s">
        <v>19</v>
      </c>
      <c r="F10" s="1" t="s">
        <v>19</v>
      </c>
      <c r="G10" s="1" t="s">
        <v>19</v>
      </c>
      <c r="H10" s="1" t="s">
        <v>31</v>
      </c>
      <c r="I10" s="1" t="s">
        <v>32</v>
      </c>
      <c r="J10" s="1" t="s">
        <v>33</v>
      </c>
      <c r="K10" s="1" t="s">
        <v>33</v>
      </c>
      <c r="L10" s="2" t="s">
        <v>23</v>
      </c>
      <c r="M10" s="1" t="s">
        <v>34</v>
      </c>
      <c r="N10" s="1" t="s">
        <v>35</v>
      </c>
      <c r="O10" s="1" t="s">
        <v>36</v>
      </c>
      <c r="P10" s="1" t="s">
        <v>27</v>
      </c>
      <c r="Q10" s="2">
        <v>12630003</v>
      </c>
      <c r="R10" s="2" t="s">
        <v>28</v>
      </c>
      <c r="S10" t="str">
        <f t="shared" ref="S10:S12" si="0">C10&amp;H10&amp;I10&amp;J10&amp;K10</f>
        <v>666666662025/06/272025/07/112025/04/212025/04/21</v>
      </c>
    </row>
    <row r="11" spans="1:21">
      <c r="A11" s="1" t="s">
        <v>29</v>
      </c>
      <c r="B11" s="1" t="s">
        <v>30</v>
      </c>
      <c r="C11" s="1">
        <v>66666666</v>
      </c>
      <c r="D11" s="2">
        <v>12630003</v>
      </c>
      <c r="E11" s="3"/>
      <c r="F11" s="3"/>
      <c r="G11" s="3"/>
      <c r="H11" s="4">
        <v>45844</v>
      </c>
      <c r="I11" s="4">
        <v>45868</v>
      </c>
      <c r="J11" s="2" t="s">
        <v>69</v>
      </c>
      <c r="K11" s="2" t="s">
        <v>42</v>
      </c>
      <c r="L11" s="2" t="s">
        <v>23</v>
      </c>
      <c r="M11" s="2">
        <v>23</v>
      </c>
      <c r="N11" s="3"/>
      <c r="O11" s="3" t="s">
        <v>72</v>
      </c>
      <c r="P11" s="1" t="s">
        <v>27</v>
      </c>
      <c r="Q11" s="2">
        <v>12630003</v>
      </c>
      <c r="R11" s="2" t="s">
        <v>28</v>
      </c>
      <c r="S11" t="str">
        <f t="shared" si="0"/>
        <v>6666666645844458682025/07/232025/07/30</v>
      </c>
    </row>
    <row r="12" spans="1:21">
      <c r="A12" s="1" t="s">
        <v>29</v>
      </c>
      <c r="B12" s="1" t="s">
        <v>30</v>
      </c>
      <c r="C12" s="1">
        <v>66666666</v>
      </c>
      <c r="D12" s="2">
        <v>12630003</v>
      </c>
      <c r="E12" s="3"/>
      <c r="F12" s="3"/>
      <c r="G12" s="3"/>
      <c r="H12" s="4">
        <v>45839</v>
      </c>
      <c r="I12" s="4">
        <v>45839</v>
      </c>
      <c r="J12" s="2" t="s">
        <v>69</v>
      </c>
      <c r="K12" s="2" t="s">
        <v>42</v>
      </c>
      <c r="L12" s="2" t="s">
        <v>23</v>
      </c>
      <c r="M12" s="3">
        <v>2</v>
      </c>
      <c r="N12" s="3"/>
      <c r="O12" s="1" t="s">
        <v>73</v>
      </c>
      <c r="P12" s="1" t="s">
        <v>27</v>
      </c>
      <c r="Q12" s="2">
        <v>12630003</v>
      </c>
      <c r="R12" s="2" t="s">
        <v>28</v>
      </c>
      <c r="S12" t="str">
        <f t="shared" si="0"/>
        <v>6666666645839458392025/07/232025/07/30</v>
      </c>
    </row>
  </sheetData>
  <autoFilter ref="A1:U12"/>
  <phoneticPr fontId="6" type="noConversion"/>
  <printOptions horizontalCentered="1"/>
  <pageMargins left="0.7" right="0.7" top="0.75" bottom="0.75" header="0.3" footer="0.3"/>
  <pageSetup orientation="landscape"/>
  <headerFooter>
    <oddHeader>&amp;L&amp;"Calibri"&amp;12&amp;K8E6A00 Confidential&amp;1#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sqref="A1:XFD1"/>
    </sheetView>
  </sheetViews>
  <sheetFormatPr defaultColWidth="9" defaultRowHeight="14.25"/>
  <cols>
    <col min="8" max="8" width="13" customWidth="1"/>
    <col min="9" max="9" width="9.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5" t="s">
        <v>16</v>
      </c>
      <c r="T1" s="6" t="s">
        <v>74</v>
      </c>
      <c r="U1" s="1"/>
    </row>
    <row r="2" spans="1:21" s="22" customFormat="1">
      <c r="A2" s="2" t="s">
        <v>17</v>
      </c>
      <c r="B2" s="2" t="s">
        <v>18</v>
      </c>
      <c r="C2" s="2">
        <v>33333333</v>
      </c>
      <c r="D2" s="2">
        <v>12630003</v>
      </c>
      <c r="E2" s="2" t="s">
        <v>19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>
        <v>12630003</v>
      </c>
      <c r="R2" s="2" t="s">
        <v>28</v>
      </c>
      <c r="S2" s="22" t="str">
        <f t="shared" ref="S2" si="0">C2&amp;H2&amp;I2&amp;J2&amp;K2</f>
        <v>333333332025/05/122025/08/162025/02/252025/02/25</v>
      </c>
      <c r="T2" s="22" t="str">
        <f>VLOOKUP(S2,'Last month'!S:S,1,0)</f>
        <v>333333332025/05/122025/08/162025/02/252025/02/25</v>
      </c>
    </row>
    <row r="3" spans="1:21" s="22" customFormat="1">
      <c r="A3" s="2" t="s">
        <v>49</v>
      </c>
      <c r="B3" s="2" t="s">
        <v>50</v>
      </c>
      <c r="C3" s="2">
        <v>11111111</v>
      </c>
      <c r="D3" s="2">
        <v>12630001</v>
      </c>
      <c r="E3" s="2" t="s">
        <v>19</v>
      </c>
      <c r="F3" s="2" t="s">
        <v>19</v>
      </c>
      <c r="G3" s="2" t="s">
        <v>19</v>
      </c>
      <c r="H3" s="2" t="s">
        <v>51</v>
      </c>
      <c r="I3" s="2" t="s">
        <v>51</v>
      </c>
      <c r="J3" s="2" t="s">
        <v>51</v>
      </c>
      <c r="K3" s="2" t="s">
        <v>51</v>
      </c>
      <c r="L3" s="2" t="s">
        <v>52</v>
      </c>
      <c r="M3" s="31">
        <v>1</v>
      </c>
      <c r="N3" s="2" t="s">
        <v>25</v>
      </c>
      <c r="O3" s="2" t="s">
        <v>53</v>
      </c>
      <c r="P3" s="2" t="s">
        <v>27</v>
      </c>
      <c r="Q3" s="2">
        <v>12630001</v>
      </c>
      <c r="R3" s="2" t="s">
        <v>54</v>
      </c>
      <c r="S3" s="22" t="str">
        <f t="shared" ref="S3" si="1">C3&amp;H3&amp;I3&amp;J3&amp;K3</f>
        <v>111111112025/07/292025/07/292025/07/292025/07/29</v>
      </c>
      <c r="T3" s="22" t="e">
        <f>VLOOKUP(S3,'Last month'!S:S,1,0)</f>
        <v>#N/A</v>
      </c>
    </row>
    <row r="4" spans="1:21" s="22" customFormat="1">
      <c r="A4" s="2" t="s">
        <v>55</v>
      </c>
      <c r="B4" s="2" t="s">
        <v>56</v>
      </c>
      <c r="C4" s="2">
        <v>22222222</v>
      </c>
      <c r="D4" s="2">
        <v>12630002</v>
      </c>
      <c r="E4" s="2" t="s">
        <v>19</v>
      </c>
      <c r="F4" s="2" t="s">
        <v>19</v>
      </c>
      <c r="G4" s="2" t="s">
        <v>19</v>
      </c>
      <c r="H4" s="2" t="s">
        <v>57</v>
      </c>
      <c r="I4" s="2" t="s">
        <v>58</v>
      </c>
      <c r="J4" s="2" t="s">
        <v>42</v>
      </c>
      <c r="K4" s="2" t="s">
        <v>42</v>
      </c>
      <c r="L4" s="2" t="s">
        <v>59</v>
      </c>
      <c r="M4" s="31">
        <v>5</v>
      </c>
      <c r="N4" s="2" t="s">
        <v>25</v>
      </c>
      <c r="O4" s="2" t="s">
        <v>53</v>
      </c>
      <c r="P4" s="2" t="s">
        <v>27</v>
      </c>
      <c r="Q4" s="2">
        <v>12630002</v>
      </c>
      <c r="R4" s="2" t="s">
        <v>60</v>
      </c>
      <c r="S4" s="22" t="str">
        <f t="shared" ref="S4:S5" si="2">C4&amp;H4&amp;I4&amp;J4&amp;K4</f>
        <v>222222222025/07/212025/07/252025/07/302025/07/30</v>
      </c>
      <c r="T4" s="22" t="e">
        <f>VLOOKUP(S4,'Last month'!S:S,1,0)</f>
        <v>#N/A</v>
      </c>
    </row>
    <row r="5" spans="1:21" s="22" customFormat="1">
      <c r="A5" s="2" t="s">
        <v>17</v>
      </c>
      <c r="B5" s="2" t="s">
        <v>18</v>
      </c>
      <c r="C5" s="2">
        <v>33333333</v>
      </c>
      <c r="D5" s="2">
        <v>12630003</v>
      </c>
      <c r="E5" s="2" t="s">
        <v>19</v>
      </c>
      <c r="F5" s="2" t="s">
        <v>19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>
        <v>12630003</v>
      </c>
      <c r="R5" s="2" t="s">
        <v>28</v>
      </c>
      <c r="S5" s="22" t="str">
        <f t="shared" si="2"/>
        <v>333333332025/05/122025/08/162025/02/252025/02/25</v>
      </c>
      <c r="T5" s="22" t="str">
        <f>VLOOKUP(S5,'Last month'!S:S,1,0)</f>
        <v>333333332025/05/122025/08/162025/02/252025/02/25</v>
      </c>
    </row>
    <row r="6" spans="1:21" s="22" customFormat="1">
      <c r="A6" s="2" t="s">
        <v>61</v>
      </c>
      <c r="B6" s="2" t="s">
        <v>62</v>
      </c>
      <c r="C6" s="2">
        <v>44444444</v>
      </c>
      <c r="D6" s="2">
        <v>12630001</v>
      </c>
      <c r="E6" s="2" t="s">
        <v>19</v>
      </c>
      <c r="F6" s="2" t="s">
        <v>19</v>
      </c>
      <c r="G6" s="2" t="s">
        <v>19</v>
      </c>
      <c r="H6" s="25">
        <v>45842</v>
      </c>
      <c r="I6" s="25">
        <v>45842</v>
      </c>
      <c r="J6" s="2" t="s">
        <v>63</v>
      </c>
      <c r="K6" s="2" t="s">
        <v>63</v>
      </c>
      <c r="L6" s="2" t="s">
        <v>64</v>
      </c>
      <c r="M6" s="31">
        <v>1</v>
      </c>
      <c r="N6" s="2" t="s">
        <v>65</v>
      </c>
      <c r="O6" s="2" t="s">
        <v>36</v>
      </c>
      <c r="P6" s="2" t="s">
        <v>27</v>
      </c>
      <c r="Q6" s="2">
        <v>12630001</v>
      </c>
      <c r="R6" s="2" t="s">
        <v>66</v>
      </c>
      <c r="S6" s="22" t="str">
        <f t="shared" ref="S6:S8" si="3">C6&amp;H6&amp;I6&amp;J6&amp;K6</f>
        <v>4444444445842458422025/05/152025/05/15</v>
      </c>
      <c r="T6" s="22" t="e">
        <f>VLOOKUP(S6,'Last month'!S:S,1,0)</f>
        <v>#N/A</v>
      </c>
    </row>
    <row r="7" spans="1:21" s="22" customFormat="1">
      <c r="A7" s="2" t="s">
        <v>67</v>
      </c>
      <c r="B7" s="2" t="s">
        <v>68</v>
      </c>
      <c r="C7" s="2">
        <v>55555555</v>
      </c>
      <c r="D7" s="2">
        <v>12630001</v>
      </c>
      <c r="E7" s="2" t="s">
        <v>19</v>
      </c>
      <c r="F7" s="2" t="s">
        <v>19</v>
      </c>
      <c r="G7" s="2" t="s">
        <v>19</v>
      </c>
      <c r="H7" s="25">
        <v>45866</v>
      </c>
      <c r="I7" s="25">
        <v>45870</v>
      </c>
      <c r="J7" s="2" t="s">
        <v>69</v>
      </c>
      <c r="K7" s="2" t="s">
        <v>42</v>
      </c>
      <c r="L7" s="2" t="s">
        <v>70</v>
      </c>
      <c r="M7" s="31">
        <v>5</v>
      </c>
      <c r="N7" s="2" t="s">
        <v>65</v>
      </c>
      <c r="O7" s="2" t="s">
        <v>36</v>
      </c>
      <c r="P7" s="2" t="s">
        <v>27</v>
      </c>
      <c r="Q7" s="2">
        <v>12630001</v>
      </c>
      <c r="R7" s="2" t="s">
        <v>71</v>
      </c>
      <c r="S7" s="22" t="str">
        <f t="shared" si="3"/>
        <v>5555555545866458702025/07/232025/07/30</v>
      </c>
      <c r="T7" s="22" t="e">
        <f>VLOOKUP(S7,'Last month'!S:S,1,0)</f>
        <v>#N/A</v>
      </c>
    </row>
    <row r="8" spans="1:21">
      <c r="A8" s="1" t="s">
        <v>29</v>
      </c>
      <c r="B8" s="1" t="s">
        <v>30</v>
      </c>
      <c r="C8" s="1">
        <v>66666666</v>
      </c>
      <c r="D8" s="2">
        <v>12630003</v>
      </c>
      <c r="E8" s="1" t="s">
        <v>19</v>
      </c>
      <c r="F8" s="1" t="s">
        <v>19</v>
      </c>
      <c r="G8" s="1" t="s">
        <v>19</v>
      </c>
      <c r="H8" s="1" t="s">
        <v>31</v>
      </c>
      <c r="I8" s="1" t="s">
        <v>32</v>
      </c>
      <c r="J8" s="2" t="s">
        <v>69</v>
      </c>
      <c r="K8" s="2" t="s">
        <v>42</v>
      </c>
      <c r="L8" s="2" t="s">
        <v>23</v>
      </c>
      <c r="M8" s="1" t="s">
        <v>34</v>
      </c>
      <c r="N8" s="1" t="s">
        <v>35</v>
      </c>
      <c r="O8" s="1" t="s">
        <v>36</v>
      </c>
      <c r="P8" s="1" t="s">
        <v>27</v>
      </c>
      <c r="Q8" s="2">
        <v>12630003</v>
      </c>
      <c r="R8" s="2" t="s">
        <v>28</v>
      </c>
      <c r="S8" t="str">
        <f t="shared" si="3"/>
        <v>666666662025/06/272025/07/112025/07/232025/07/30</v>
      </c>
    </row>
    <row r="9" spans="1:21">
      <c r="A9" s="1" t="s">
        <v>29</v>
      </c>
      <c r="B9" s="1" t="s">
        <v>30</v>
      </c>
      <c r="C9" s="1">
        <v>66666666</v>
      </c>
      <c r="D9" s="2">
        <v>12630003</v>
      </c>
      <c r="E9" s="3"/>
      <c r="F9" s="3"/>
      <c r="G9" s="3"/>
      <c r="H9" s="4">
        <v>45844</v>
      </c>
      <c r="I9" s="4">
        <v>45868</v>
      </c>
      <c r="J9" s="2" t="s">
        <v>69</v>
      </c>
      <c r="K9" s="2" t="s">
        <v>42</v>
      </c>
      <c r="L9" s="2" t="s">
        <v>23</v>
      </c>
      <c r="M9" s="2">
        <v>23</v>
      </c>
      <c r="N9" s="3"/>
      <c r="O9" s="3" t="s">
        <v>72</v>
      </c>
      <c r="P9" s="1" t="s">
        <v>27</v>
      </c>
      <c r="Q9" s="2">
        <v>12630003</v>
      </c>
      <c r="R9" s="2" t="s">
        <v>28</v>
      </c>
      <c r="S9" t="str">
        <f t="shared" ref="S9:S10" si="4">C9&amp;H9&amp;I9&amp;J9&amp;K9</f>
        <v>6666666645844458682025/07/232025/07/30</v>
      </c>
    </row>
    <row r="10" spans="1:21">
      <c r="A10" s="1" t="s">
        <v>29</v>
      </c>
      <c r="B10" s="1" t="s">
        <v>30</v>
      </c>
      <c r="C10" s="1">
        <v>66666666</v>
      </c>
      <c r="D10" s="2">
        <v>12630003</v>
      </c>
      <c r="E10" s="3"/>
      <c r="F10" s="3"/>
      <c r="G10" s="3"/>
      <c r="H10" s="4">
        <v>45839</v>
      </c>
      <c r="I10" s="4">
        <v>45839</v>
      </c>
      <c r="J10" s="2" t="s">
        <v>69</v>
      </c>
      <c r="K10" s="2" t="s">
        <v>42</v>
      </c>
      <c r="L10" s="2" t="s">
        <v>23</v>
      </c>
      <c r="M10" s="3">
        <v>2</v>
      </c>
      <c r="N10" s="3"/>
      <c r="O10" s="1" t="s">
        <v>73</v>
      </c>
      <c r="P10" s="1" t="s">
        <v>27</v>
      </c>
      <c r="Q10" s="2">
        <v>12630003</v>
      </c>
      <c r="R10" s="2" t="s">
        <v>28</v>
      </c>
      <c r="S10" t="str">
        <f t="shared" si="4"/>
        <v>6666666645839458392025/07/232025/07/30</v>
      </c>
    </row>
  </sheetData>
  <autoFilter ref="A1:U10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G9" sqref="G9"/>
    </sheetView>
  </sheetViews>
  <sheetFormatPr defaultColWidth="9" defaultRowHeight="14.25"/>
  <cols>
    <col min="3" max="4" width="9.125" customWidth="1"/>
    <col min="8" max="8" width="13" customWidth="1"/>
    <col min="9" max="9" width="10.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75</v>
      </c>
      <c r="R1" s="1" t="s">
        <v>76</v>
      </c>
      <c r="S1" s="5" t="s">
        <v>16</v>
      </c>
      <c r="T1" s="6" t="s">
        <v>74</v>
      </c>
      <c r="U1" s="1" t="s">
        <v>77</v>
      </c>
    </row>
    <row r="2" spans="1:21" s="22" customFormat="1">
      <c r="A2" s="2" t="s">
        <v>61</v>
      </c>
      <c r="B2" s="2" t="s">
        <v>62</v>
      </c>
      <c r="C2" s="2">
        <v>44444444</v>
      </c>
      <c r="D2" s="2">
        <v>12630001</v>
      </c>
      <c r="E2" s="2" t="s">
        <v>19</v>
      </c>
      <c r="F2" s="2" t="s">
        <v>19</v>
      </c>
      <c r="G2" s="2" t="s">
        <v>19</v>
      </c>
      <c r="H2" s="25">
        <v>45842</v>
      </c>
      <c r="I2" s="25">
        <v>45842</v>
      </c>
      <c r="J2" s="2" t="s">
        <v>63</v>
      </c>
      <c r="K2" s="2" t="s">
        <v>63</v>
      </c>
      <c r="L2" s="2" t="s">
        <v>64</v>
      </c>
      <c r="M2" s="31">
        <v>1</v>
      </c>
      <c r="N2" s="2" t="s">
        <v>65</v>
      </c>
      <c r="O2" s="2" t="s">
        <v>36</v>
      </c>
      <c r="P2" s="2" t="s">
        <v>27</v>
      </c>
      <c r="Q2" s="2">
        <v>12630001</v>
      </c>
      <c r="R2" s="2" t="s">
        <v>66</v>
      </c>
      <c r="S2" s="22" t="s">
        <v>78</v>
      </c>
      <c r="T2" s="22" t="e">
        <v>#N/A</v>
      </c>
      <c r="U2" s="34" t="s">
        <v>79</v>
      </c>
    </row>
    <row r="3" spans="1:21" s="23" customFormat="1">
      <c r="A3" s="26" t="s">
        <v>67</v>
      </c>
      <c r="B3" s="26" t="s">
        <v>68</v>
      </c>
      <c r="C3" s="26">
        <v>55555555</v>
      </c>
      <c r="D3" s="26">
        <v>12630001</v>
      </c>
      <c r="E3" s="26" t="s">
        <v>19</v>
      </c>
      <c r="F3" s="26" t="s">
        <v>19</v>
      </c>
      <c r="G3" s="26" t="s">
        <v>19</v>
      </c>
      <c r="H3" s="27">
        <v>45866</v>
      </c>
      <c r="I3" s="27">
        <v>45870</v>
      </c>
      <c r="J3" s="26" t="s">
        <v>69</v>
      </c>
      <c r="K3" s="26" t="s">
        <v>42</v>
      </c>
      <c r="L3" s="26" t="s">
        <v>70</v>
      </c>
      <c r="M3" s="32">
        <v>5</v>
      </c>
      <c r="N3" s="26" t="s">
        <v>65</v>
      </c>
      <c r="O3" s="26" t="s">
        <v>36</v>
      </c>
      <c r="P3" s="26" t="s">
        <v>27</v>
      </c>
      <c r="Q3" s="26">
        <v>12630001</v>
      </c>
      <c r="R3" s="26" t="s">
        <v>71</v>
      </c>
      <c r="S3" s="23" t="s">
        <v>80</v>
      </c>
      <c r="T3" s="23" t="e">
        <v>#N/A</v>
      </c>
      <c r="U3" s="23" t="s">
        <v>81</v>
      </c>
    </row>
    <row r="4" spans="1:21" s="16" customFormat="1">
      <c r="A4" s="7"/>
      <c r="B4" s="7"/>
      <c r="C4" s="7">
        <v>55555555</v>
      </c>
      <c r="D4" s="7"/>
      <c r="E4" s="7"/>
      <c r="F4" s="7"/>
      <c r="G4" s="7"/>
      <c r="H4" s="28">
        <v>45866</v>
      </c>
      <c r="I4" s="28">
        <v>45869</v>
      </c>
      <c r="J4" s="7"/>
      <c r="K4" s="7"/>
      <c r="L4" s="7"/>
      <c r="M4" s="13">
        <v>4</v>
      </c>
      <c r="N4" s="7"/>
      <c r="O4" s="7"/>
      <c r="P4" s="7"/>
      <c r="Q4" s="7"/>
      <c r="R4" s="7"/>
      <c r="U4" s="16" t="s">
        <v>79</v>
      </c>
    </row>
    <row r="5" spans="1:21" s="24" customFormat="1">
      <c r="A5" s="29"/>
      <c r="B5" s="29"/>
      <c r="C5" s="29">
        <v>55555555</v>
      </c>
      <c r="D5" s="29"/>
      <c r="E5" s="29"/>
      <c r="F5" s="29"/>
      <c r="G5" s="29"/>
      <c r="H5" s="30">
        <v>45870</v>
      </c>
      <c r="I5" s="30">
        <v>45870</v>
      </c>
      <c r="J5" s="29"/>
      <c r="K5" s="29"/>
      <c r="L5" s="29"/>
      <c r="M5" s="33">
        <v>1</v>
      </c>
      <c r="N5" s="29"/>
      <c r="O5" s="29"/>
      <c r="P5" s="29"/>
      <c r="Q5" s="29"/>
      <c r="R5" s="29"/>
      <c r="U5" s="24" t="s">
        <v>82</v>
      </c>
    </row>
  </sheetData>
  <autoFilter ref="A1:U5"/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7"/>
  <sheetViews>
    <sheetView workbookViewId="0">
      <selection activeCell="J10" sqref="J10"/>
    </sheetView>
  </sheetViews>
  <sheetFormatPr defaultColWidth="9" defaultRowHeight="14.25"/>
  <cols>
    <col min="1" max="1" width="19" customWidth="1"/>
    <col min="2" max="2" width="15.625" customWidth="1"/>
    <col min="3" max="3" width="4" customWidth="1"/>
    <col min="4" max="4" width="6.625" customWidth="1"/>
    <col min="5" max="5" width="10.875" customWidth="1"/>
    <col min="9" max="9" width="10.5" customWidth="1"/>
  </cols>
  <sheetData>
    <row r="3" spans="1:11">
      <c r="A3" t="s">
        <v>83</v>
      </c>
      <c r="B3" t="s">
        <v>84</v>
      </c>
    </row>
    <row r="4" spans="1:11">
      <c r="A4" t="s">
        <v>85</v>
      </c>
      <c r="B4" t="s">
        <v>79</v>
      </c>
      <c r="C4" t="s">
        <v>82</v>
      </c>
      <c r="D4" t="s">
        <v>81</v>
      </c>
      <c r="E4" t="s">
        <v>86</v>
      </c>
      <c r="I4" t="s">
        <v>85</v>
      </c>
      <c r="J4" t="s">
        <v>87</v>
      </c>
      <c r="K4" t="s">
        <v>88</v>
      </c>
    </row>
    <row r="5" spans="1:11">
      <c r="A5" s="9">
        <v>44444444</v>
      </c>
      <c r="B5" s="10">
        <v>1</v>
      </c>
      <c r="C5" s="10"/>
      <c r="D5" s="10"/>
      <c r="E5" s="10">
        <v>1</v>
      </c>
      <c r="I5" s="9">
        <v>44444444</v>
      </c>
      <c r="J5" s="10">
        <v>1</v>
      </c>
      <c r="K5" s="10"/>
    </row>
    <row r="6" spans="1:11">
      <c r="A6" s="9">
        <v>55555555</v>
      </c>
      <c r="B6" s="10">
        <v>4</v>
      </c>
      <c r="C6" s="10">
        <v>1</v>
      </c>
      <c r="D6" s="10">
        <v>5</v>
      </c>
      <c r="E6" s="10">
        <v>10</v>
      </c>
      <c r="I6" s="9">
        <v>55555555</v>
      </c>
      <c r="J6" s="10">
        <v>4</v>
      </c>
      <c r="K6" s="10">
        <v>1</v>
      </c>
    </row>
    <row r="7" spans="1:11">
      <c r="A7" s="9" t="s">
        <v>86</v>
      </c>
      <c r="B7" s="10">
        <v>5</v>
      </c>
      <c r="C7" s="10">
        <v>1</v>
      </c>
      <c r="D7" s="10">
        <v>5</v>
      </c>
      <c r="E7" s="10">
        <v>11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S2" sqref="S2"/>
    </sheetView>
  </sheetViews>
  <sheetFormatPr defaultColWidth="9" defaultRowHeight="14.25"/>
  <cols>
    <col min="3" max="4" width="9.125" customWidth="1"/>
    <col min="7" max="7" width="11.875" customWidth="1"/>
    <col min="8" max="8" width="10.875" customWidth="1"/>
    <col min="9" max="9" width="10.625" customWidth="1"/>
    <col min="12" max="12" width="20" customWidth="1"/>
    <col min="13" max="13" width="9.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5" t="s">
        <v>16</v>
      </c>
      <c r="T1" s="6" t="s">
        <v>74</v>
      </c>
      <c r="U1" s="1"/>
    </row>
    <row r="2" spans="1:21">
      <c r="A2" s="1" t="s">
        <v>17</v>
      </c>
      <c r="B2" s="1" t="s">
        <v>18</v>
      </c>
      <c r="C2" s="1">
        <v>33333333</v>
      </c>
      <c r="D2" s="1">
        <v>12630003</v>
      </c>
      <c r="E2" s="1" t="s">
        <v>19</v>
      </c>
      <c r="F2" s="1" t="s">
        <v>19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>
        <v>12630003</v>
      </c>
      <c r="R2" s="1" t="s">
        <v>28</v>
      </c>
      <c r="S2" t="s">
        <v>89</v>
      </c>
      <c r="T2" t="e">
        <v>#N/A</v>
      </c>
    </row>
    <row r="3" spans="1:21">
      <c r="A3" s="17"/>
      <c r="B3" s="17"/>
      <c r="C3" s="17"/>
      <c r="D3" s="17"/>
      <c r="E3" s="17"/>
      <c r="F3" s="17"/>
      <c r="G3" s="17"/>
      <c r="H3" s="18" t="s">
        <v>20</v>
      </c>
      <c r="I3" s="18">
        <v>45808</v>
      </c>
      <c r="J3" s="17"/>
      <c r="K3" s="17"/>
      <c r="L3" s="17"/>
      <c r="M3" s="17">
        <v>20</v>
      </c>
      <c r="N3" t="s">
        <v>90</v>
      </c>
      <c r="O3" s="17"/>
      <c r="P3" s="17"/>
      <c r="Q3" s="17"/>
      <c r="R3" s="17"/>
    </row>
    <row r="4" spans="1:21">
      <c r="A4" s="17"/>
      <c r="B4" s="17"/>
      <c r="C4" s="17"/>
      <c r="D4" s="17"/>
      <c r="E4" s="17"/>
      <c r="F4" s="17"/>
      <c r="G4" s="17"/>
      <c r="H4" s="19">
        <v>45809</v>
      </c>
      <c r="I4" s="19">
        <v>45838</v>
      </c>
      <c r="J4" s="21"/>
      <c r="K4" s="21"/>
      <c r="L4" s="21"/>
      <c r="M4" s="21">
        <v>30</v>
      </c>
      <c r="N4" s="22" t="s">
        <v>91</v>
      </c>
      <c r="O4" s="17"/>
      <c r="P4" s="17"/>
      <c r="Q4" s="17"/>
      <c r="R4" s="17"/>
    </row>
    <row r="5" spans="1:21">
      <c r="H5" s="20">
        <v>45839</v>
      </c>
      <c r="I5" s="20">
        <v>45869</v>
      </c>
      <c r="J5" s="16"/>
      <c r="K5" s="16"/>
      <c r="L5" s="16"/>
      <c r="M5" s="16">
        <v>31</v>
      </c>
      <c r="N5" s="16" t="s">
        <v>92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selection activeCell="S2" sqref="S2:S3"/>
    </sheetView>
  </sheetViews>
  <sheetFormatPr defaultColWidth="9" defaultRowHeight="14.25"/>
  <cols>
    <col min="3" max="3" width="12.625" customWidth="1"/>
    <col min="4" max="4" width="19" customWidth="1"/>
    <col min="8" max="8" width="10.875" customWidth="1"/>
    <col min="9" max="9" width="10.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5" t="s">
        <v>16</v>
      </c>
      <c r="T1" s="6" t="s">
        <v>74</v>
      </c>
    </row>
    <row r="2" spans="1:20">
      <c r="A2" s="1" t="s">
        <v>49</v>
      </c>
      <c r="B2" s="1" t="s">
        <v>50</v>
      </c>
      <c r="C2" s="1">
        <v>11111111</v>
      </c>
      <c r="D2" s="1">
        <v>12630001</v>
      </c>
      <c r="E2" s="1" t="s">
        <v>19</v>
      </c>
      <c r="F2" s="1" t="s">
        <v>19</v>
      </c>
      <c r="G2" s="1" t="s">
        <v>19</v>
      </c>
      <c r="H2" s="1" t="s">
        <v>51</v>
      </c>
      <c r="I2" s="1" t="s">
        <v>51</v>
      </c>
      <c r="J2" s="1" t="s">
        <v>51</v>
      </c>
      <c r="K2" s="1" t="s">
        <v>51</v>
      </c>
      <c r="L2" s="1" t="s">
        <v>52</v>
      </c>
      <c r="M2" s="12">
        <v>1</v>
      </c>
      <c r="N2" s="1" t="s">
        <v>25</v>
      </c>
      <c r="O2" s="1" t="s">
        <v>53</v>
      </c>
      <c r="P2" s="1" t="s">
        <v>27</v>
      </c>
      <c r="Q2" s="1">
        <v>12630001</v>
      </c>
      <c r="R2" s="1" t="s">
        <v>54</v>
      </c>
      <c r="S2" t="s">
        <v>93</v>
      </c>
      <c r="T2" t="e">
        <v>#N/A</v>
      </c>
    </row>
    <row r="3" spans="1:20">
      <c r="A3" s="7" t="s">
        <v>55</v>
      </c>
      <c r="B3" s="7" t="s">
        <v>56</v>
      </c>
      <c r="C3" s="7">
        <v>22222222</v>
      </c>
      <c r="D3" s="7">
        <v>12630002</v>
      </c>
      <c r="E3" s="7" t="s">
        <v>19</v>
      </c>
      <c r="F3" s="7" t="s">
        <v>19</v>
      </c>
      <c r="G3" s="7" t="s">
        <v>19</v>
      </c>
      <c r="H3" s="7" t="s">
        <v>57</v>
      </c>
      <c r="I3" s="7" t="s">
        <v>58</v>
      </c>
      <c r="J3" s="7" t="s">
        <v>42</v>
      </c>
      <c r="K3" s="7" t="s">
        <v>42</v>
      </c>
      <c r="L3" s="7" t="s">
        <v>59</v>
      </c>
      <c r="M3" s="13">
        <v>5</v>
      </c>
      <c r="N3" s="7" t="s">
        <v>25</v>
      </c>
      <c r="O3" s="7" t="s">
        <v>53</v>
      </c>
      <c r="P3" s="7" t="s">
        <v>27</v>
      </c>
      <c r="Q3" s="7">
        <v>12630002</v>
      </c>
      <c r="R3" s="7" t="s">
        <v>60</v>
      </c>
      <c r="S3" s="16" t="s">
        <v>94</v>
      </c>
      <c r="T3" s="16" t="e">
        <v>#N/A</v>
      </c>
    </row>
    <row r="7" spans="1:20" ht="15">
      <c r="C7" t="s">
        <v>85</v>
      </c>
      <c r="D7" t="s">
        <v>83</v>
      </c>
      <c r="H7" s="8" t="s">
        <v>95</v>
      </c>
    </row>
    <row r="8" spans="1:20" ht="28.5">
      <c r="C8" s="9">
        <v>11111111</v>
      </c>
      <c r="D8" s="10">
        <v>1</v>
      </c>
      <c r="H8" s="11" t="s">
        <v>85</v>
      </c>
      <c r="I8" s="11" t="s">
        <v>7</v>
      </c>
      <c r="J8" s="11" t="s">
        <v>8</v>
      </c>
      <c r="K8" s="11" t="s">
        <v>12</v>
      </c>
    </row>
    <row r="9" spans="1:20">
      <c r="C9" s="9">
        <v>22222222</v>
      </c>
      <c r="D9" s="10">
        <v>5</v>
      </c>
      <c r="H9" s="9">
        <v>22222222</v>
      </c>
      <c r="I9" s="14" t="s">
        <v>57</v>
      </c>
      <c r="J9" s="14" t="s">
        <v>58</v>
      </c>
      <c r="K9" s="15">
        <v>5</v>
      </c>
    </row>
    <row r="10" spans="1:20">
      <c r="C10" s="9" t="s">
        <v>86</v>
      </c>
      <c r="D10" s="10">
        <v>6</v>
      </c>
    </row>
  </sheetData>
  <autoFilter ref="A1:T3"/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E7" sqref="E7"/>
    </sheetView>
  </sheetViews>
  <sheetFormatPr defaultColWidth="9" defaultRowHeight="14.2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5" t="s">
        <v>16</v>
      </c>
      <c r="T1" s="6" t="s">
        <v>74</v>
      </c>
      <c r="U1" s="1"/>
    </row>
    <row r="2" spans="1:21">
      <c r="A2" s="1" t="s">
        <v>29</v>
      </c>
      <c r="B2" s="1" t="s">
        <v>30</v>
      </c>
      <c r="C2" s="1">
        <v>66666666</v>
      </c>
      <c r="D2" s="2">
        <v>12630003</v>
      </c>
      <c r="E2" s="3"/>
      <c r="F2" s="3"/>
      <c r="G2" s="3"/>
      <c r="H2" s="4">
        <v>45839</v>
      </c>
      <c r="I2" s="4">
        <v>45839</v>
      </c>
      <c r="J2" s="2" t="s">
        <v>69</v>
      </c>
      <c r="K2" s="2" t="s">
        <v>42</v>
      </c>
      <c r="L2" s="2" t="s">
        <v>23</v>
      </c>
      <c r="M2" s="3">
        <v>2</v>
      </c>
      <c r="N2" s="3"/>
      <c r="O2" s="1" t="s">
        <v>73</v>
      </c>
      <c r="P2" s="1" t="s">
        <v>27</v>
      </c>
      <c r="Q2" s="2">
        <v>12630003</v>
      </c>
      <c r="R2" s="2" t="s">
        <v>28</v>
      </c>
      <c r="S2" t="str">
        <f t="shared" ref="S2" si="0">C2&amp;H2&amp;I2&amp;J2&amp;K2</f>
        <v>6666666645839458392025/07/232025/07/30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F11" sqref="F11"/>
    </sheetView>
  </sheetViews>
  <sheetFormatPr defaultColWidth="9" defaultRowHeight="14.2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5" t="s">
        <v>16</v>
      </c>
      <c r="T1" s="6" t="s">
        <v>74</v>
      </c>
      <c r="U1" s="1"/>
    </row>
    <row r="2" spans="1:21">
      <c r="A2" s="1" t="s">
        <v>29</v>
      </c>
      <c r="B2" s="1" t="s">
        <v>30</v>
      </c>
      <c r="C2" s="1">
        <v>66666666</v>
      </c>
      <c r="D2" s="2">
        <v>12630003</v>
      </c>
      <c r="E2" s="3"/>
      <c r="F2" s="3"/>
      <c r="G2" s="3"/>
      <c r="H2" s="4">
        <v>45844</v>
      </c>
      <c r="I2" s="4">
        <v>45868</v>
      </c>
      <c r="J2" s="2" t="s">
        <v>69</v>
      </c>
      <c r="K2" s="2" t="s">
        <v>42</v>
      </c>
      <c r="L2" s="2" t="s">
        <v>23</v>
      </c>
      <c r="M2" s="2">
        <v>23</v>
      </c>
      <c r="N2" s="3"/>
      <c r="O2" s="3" t="s">
        <v>72</v>
      </c>
      <c r="P2" s="1" t="s">
        <v>27</v>
      </c>
      <c r="Q2" s="2">
        <v>12630003</v>
      </c>
      <c r="R2" s="2" t="s">
        <v>28</v>
      </c>
      <c r="S2" t="str">
        <f t="shared" ref="S2" si="0">C2&amp;H2&amp;I2&amp;J2&amp;K2</f>
        <v>6666666645844458682025/07/232025/07/30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Last month</vt:lpstr>
      <vt:lpstr>Sum</vt:lpstr>
      <vt:lpstr>Approved</vt:lpstr>
      <vt:lpstr>AL</vt:lpstr>
      <vt:lpstr>AL Pivot</vt:lpstr>
      <vt:lpstr>Maternity</vt:lpstr>
      <vt:lpstr>Sick</vt:lpstr>
      <vt:lpstr>Unpaid</vt:lpstr>
      <vt:lpstr>PPTO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imax</cp:lastModifiedBy>
  <dcterms:created xsi:type="dcterms:W3CDTF">2025-08-12T06:08:00Z</dcterms:created>
  <dcterms:modified xsi:type="dcterms:W3CDTF">2025-11-26T07:06:57Z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2025-08-12T06:16:59Z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ae1d28dd-ecce-413c-8f7f-a68a82db382c</vt:lpwstr>
  </property>
  <property fmtid="{D5CDD505-2E9C-101B-9397-08002B2CF9AE}" pid="8" name="MSIP_Label_2c56a699-e9bd-437a-8412-901342082749_ContentBits">
    <vt:lpwstr>1</vt:lpwstr>
  </property>
  <property fmtid="{D5CDD505-2E9C-101B-9397-08002B2CF9AE}" pid="9" name="MSIP_Label_2c56a699-e9bd-437a-8412-901342082749_Tag">
    <vt:lpwstr>10, 0, 1, 1</vt:lpwstr>
  </property>
  <property fmtid="{D5CDD505-2E9C-101B-9397-08002B2CF9AE}" pid="10" name="ICV">
    <vt:lpwstr>8AA19FEE36CC4B458D24F24BBE6C2DE3_13</vt:lpwstr>
  </property>
  <property fmtid="{D5CDD505-2E9C-101B-9397-08002B2CF9AE}" pid="11" name="KSOProductBuildVer">
    <vt:lpwstr>2052-12.1.0.23125</vt:lpwstr>
  </property>
</Properties>
</file>