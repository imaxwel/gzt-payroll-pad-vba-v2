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 defaultThemeVersion="124226"/>
  <bookViews>
    <workbookView xWindow="-1770" yWindow="2640" windowWidth="19455" windowHeight="11055" activeTab="1"/>
  </bookViews>
  <sheets>
    <sheet name="Flex Claim Summary" sheetId="1" r:id="rId1"/>
    <sheet name="Pivot" sheetId="2" r:id="rId2"/>
  </sheets>
  <definedNames>
    <definedName name="_xlnm._FilterDatabase" localSheetId="0" hidden="1">'Flex Claim Summary'!$A$1:$AT$5</definedName>
  </definedNames>
  <calcPr calcId="0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<sst xmlns="http://schemas.openxmlformats.org/spreadsheetml/2006/main" count="205" uniqueCount="89">
  <si>
    <t>Cost Center</t>
  </si>
  <si>
    <t>Organizational Unit</t>
  </si>
  <si>
    <t>Business Unit</t>
  </si>
  <si>
    <t>Department</t>
  </si>
  <si>
    <t>Division</t>
  </si>
  <si>
    <t>Benefit Group</t>
  </si>
  <si>
    <t>Company</t>
  </si>
  <si>
    <t>Employee Type</t>
  </si>
  <si>
    <t>Job Type</t>
  </si>
  <si>
    <t>Job Level</t>
  </si>
  <si>
    <t>Employee Number ID</t>
  </si>
  <si>
    <t>National ID</t>
  </si>
  <si>
    <t>Employee First Name</t>
  </si>
  <si>
    <t>Employee Last Name</t>
  </si>
  <si>
    <t>Employee Full Name</t>
  </si>
  <si>
    <t>Work Email</t>
  </si>
  <si>
    <t>Bank Code</t>
  </si>
  <si>
    <t>Branch Code</t>
  </si>
  <si>
    <t>Account Number</t>
  </si>
  <si>
    <t>Account Code</t>
  </si>
  <si>
    <t>Date of Hire</t>
  </si>
  <si>
    <t>Last Day of Service</t>
  </si>
  <si>
    <t>Submission Date</t>
  </si>
  <si>
    <t>Claim Ref</t>
  </si>
  <si>
    <t>Receipt Date</t>
  </si>
  <si>
    <t>Receipt Number</t>
  </si>
  <si>
    <t>Claim Item</t>
  </si>
  <si>
    <t>Sub Claim Item</t>
  </si>
  <si>
    <t>Claimant ID</t>
  </si>
  <si>
    <t>Relationship</t>
  </si>
  <si>
    <t>Claimant Full Name</t>
  </si>
  <si>
    <t>Incurred Amount</t>
  </si>
  <si>
    <t>Incurred Amount Currency</t>
  </si>
  <si>
    <t>Currency Exchange Rate</t>
  </si>
  <si>
    <t>Clinic Name</t>
  </si>
  <si>
    <t>Consultation Reason</t>
  </si>
  <si>
    <t>Claimable Amount</t>
  </si>
  <si>
    <t>Additional Information</t>
  </si>
  <si>
    <t>Spending Account</t>
  </si>
  <si>
    <t>Transacted Amount</t>
  </si>
  <si>
    <t>Claim Status</t>
  </si>
  <si>
    <t>Claim Status Date</t>
  </si>
  <si>
    <t>Claim Status Reason</t>
  </si>
  <si>
    <t>Payment Method</t>
  </si>
  <si>
    <t>Payment Status</t>
  </si>
  <si>
    <t>Payment Date</t>
  </si>
  <si>
    <t/>
  </si>
  <si>
    <t>Merck Sharp &amp; Dohme (Asia) Limited</t>
  </si>
  <si>
    <t>Full_time</t>
  </si>
  <si>
    <t>P1111111(1)</t>
  </si>
  <si>
    <t>AAAAA</t>
  </si>
  <si>
    <t>AAAAA@MERCK.COM</t>
  </si>
  <si>
    <t>FLEXIBLE BENEFIT</t>
  </si>
  <si>
    <t>26/05/2025</t>
  </si>
  <si>
    <t>605</t>
  </si>
  <si>
    <t>05/04/2025</t>
  </si>
  <si>
    <t>N/A</t>
  </si>
  <si>
    <t>Gym Membership</t>
  </si>
  <si>
    <t>Employee</t>
  </si>
  <si>
    <t>Hong Kong Dollar</t>
  </si>
  <si>
    <t>1.00</t>
  </si>
  <si>
    <t>Individual Fitness Programs</t>
  </si>
  <si>
    <t>2025 Flexible Spending Account</t>
  </si>
  <si>
    <t>Approved</t>
  </si>
  <si>
    <t>28/05/2025</t>
  </si>
  <si>
    <t>July 2025 Payroll reimbursement report</t>
  </si>
  <si>
    <t>Payroll</t>
  </si>
  <si>
    <t>Paid</t>
  </si>
  <si>
    <t>25/08/2025</t>
  </si>
  <si>
    <t>G2222222(2)</t>
  </si>
  <si>
    <t>BBBBB</t>
  </si>
  <si>
    <t>BBBBB@merck.com</t>
  </si>
  <si>
    <t>30/06/2025</t>
  </si>
  <si>
    <t>25/06/2025</t>
  </si>
  <si>
    <t>820</t>
  </si>
  <si>
    <t>11/05/2025</t>
  </si>
  <si>
    <t>Vision Care</t>
  </si>
  <si>
    <t>Prescription glasses &amp; contact lenses</t>
  </si>
  <si>
    <t>04/07/2025</t>
  </si>
  <si>
    <t>D3333333(3)</t>
  </si>
  <si>
    <t>CCCCC</t>
  </si>
  <si>
    <t>CCCCC@merck.com</t>
  </si>
  <si>
    <t>01/06/2025</t>
  </si>
  <si>
    <t>640</t>
  </si>
  <si>
    <t>05/01/2025</t>
  </si>
  <si>
    <t>09/06/2025</t>
  </si>
  <si>
    <t>Row Labels</t>
  </si>
  <si>
    <t>Sum of Transacted Amount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</si>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</sst>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作者" refreshedDate="45905.619956828697" createdVersion="8" refreshedVersion="8" minRefreshableVersion="3" recordCount="4">
  <cacheSource type="worksheet">
    <worksheetSource ref="K1:AN5" sheet="Flex Claim Summary"/>
  </cacheSource>
  <cacheFields count="30">
    <cacheField name="Employee Number ID" numFmtId="0">
      <sharedItems containsSemiMixedTypes="0" containsString="0" containsNumber="1" containsInteger="1" minValue="0" maxValue="33333333" count="3">
        <n v="11111111"/>
        <n v="22222222"/>
        <n v="33333333"/>
      </sharedItems>
    </cacheField>
    <cacheField name="National ID" numFmtId="0">
      <sharedItems containsSemiMixedTypes="0" containsNonDate="0" containsString="0"/>
    </cacheField>
    <cacheField name="Employee First Name" numFmtId="0">
      <sharedItems containsSemiMixedTypes="0" containsNonDate="0" containsString="0"/>
    </cacheField>
    <cacheField name="Employee Last Name" numFmtId="0">
      <sharedItems containsSemiMixedTypes="0" containsNonDate="0" containsString="0"/>
    </cacheField>
    <cacheField name="Employee Full Name" numFmtId="0">
      <sharedItems containsSemiMixedTypes="0" containsNonDate="0" containsString="0"/>
    </cacheField>
    <cacheField name="Work Email" numFmtId="0">
      <sharedItems containsSemiMixedTypes="0" containsNonDate="0" containsString="0"/>
    </cacheField>
    <cacheField name="Bank Code" numFmtId="0">
      <sharedItems containsSemiMixedTypes="0" containsNonDate="0" containsString="0"/>
    </cacheField>
    <cacheField name="Branch Code" numFmtId="0">
      <sharedItems containsSemiMixedTypes="0" containsNonDate="0" containsString="0"/>
    </cacheField>
    <cacheField name="Account Number" numFmtId="0">
      <sharedItems containsSemiMixedTypes="0" containsNonDate="0" containsString="0"/>
    </cacheField>
    <cacheField name="Account Code" numFmtId="0">
      <sharedItems containsSemiMixedTypes="0" containsNonDate="0" containsString="0"/>
    </cacheField>
    <cacheField name="Date of Hire" numFmtId="14">
      <sharedItems containsSemiMixedTypes="0" containsNonDate="0" containsString="0"/>
    </cacheField>
    <cacheField name="Last Day of Service" numFmtId="0">
      <sharedItems containsSemiMixedTypes="0" containsNonDate="0" containsString="0"/>
    </cacheField>
    <cacheField name="Submission Date" numFmtId="0">
      <sharedItems containsSemiMixedTypes="0" containsNonDate="0" containsString="0"/>
    </cacheField>
    <cacheField name="Claim Ref" numFmtId="0">
      <sharedItems containsSemiMixedTypes="0" containsNonDate="0" containsString="0"/>
    </cacheField>
    <cacheField name="Receipt Date" numFmtId="0">
      <sharedItems containsSemiMixedTypes="0" containsNonDate="0" containsString="0"/>
    </cacheField>
    <cacheField name="Receipt Number" numFmtId="0">
      <sharedItems containsSemiMixedTypes="0" containsNonDate="0" containsString="0"/>
    </cacheField>
    <cacheField name="Claim Item" numFmtId="0">
      <sharedItems containsSemiMixedTypes="0" containsNonDate="0" containsString="0"/>
    </cacheField>
    <cacheField name="Sub Claim Item" numFmtId="0">
      <sharedItems containsSemiMixedTypes="0" containsNonDate="0" containsString="0"/>
    </cacheField>
    <cacheField name="Claimant ID" numFmtId="0">
      <sharedItems containsSemiMixedTypes="0" containsNonDate="0" containsString="0"/>
    </cacheField>
    <cacheField name="Relationship" numFmtId="0">
      <sharedItems containsSemiMixedTypes="0" containsNonDate="0" containsString="0"/>
    </cacheField>
    <cacheField name="Claimant Full Name" numFmtId="0">
      <sharedItems containsSemiMixedTypes="0" containsNonDate="0" containsString="0"/>
    </cacheField>
    <cacheField name="Incurred Amount" numFmtId="0">
      <sharedItems containsSemiMixedTypes="0" containsNonDate="0" containsString="0"/>
    </cacheField>
    <cacheField name="Incurred Amount Currency" numFmtId="0">
      <sharedItems containsSemiMixedTypes="0" containsNonDate="0" containsString="0"/>
    </cacheField>
    <cacheField name="Currency Exchange Rate" numFmtId="0">
      <sharedItems containsSemiMixedTypes="0" containsNonDate="0" containsString="0"/>
    </cacheField>
    <cacheField name="Clinic Name" numFmtId="0">
      <sharedItems containsSemiMixedTypes="0" containsNonDate="0" containsString="0"/>
    </cacheField>
    <cacheField name="Consultation Reason" numFmtId="0">
      <sharedItems containsSemiMixedTypes="0" containsNonDate="0" containsString="0"/>
    </cacheField>
    <cacheField name="Claimable Amount" numFmtId="0">
      <sharedItems containsSemiMixedTypes="0" containsNonDate="0" containsString="0"/>
    </cacheField>
    <cacheField name="Additional Information" numFmtId="0">
      <sharedItems containsSemiMixedTypes="0" containsNonDate="0" containsString="0"/>
    </cacheField>
    <cacheField name="Spending Account" numFmtId="0">
      <sharedItems containsSemiMixedTypes="0" containsNonDate="0" containsString="0"/>
    </cacheField>
    <cacheField name="Transacted Amount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s v="P1111111(1)"/>
    <s v="AAAAA"/>
    <s v="AAAAA"/>
    <s v="AAAAA"/>
    <s v="AAAAA@MERCK.COM"/>
    <s v=""/>
    <s v=""/>
    <s v=""/>
    <s v="FLEXIBLE BENEFIT"/>
    <d v="2025-01-01T00:00:00"/>
    <s v=""/>
    <s v="26/05/2025"/>
    <s v="605"/>
    <s v="05/04/2025"/>
    <s v="N/A"/>
    <s v="Gym Membership"/>
    <s v=""/>
    <s v="P1111111(1)"/>
    <s v="Employee"/>
    <s v="AAAAA"/>
    <n v="1500"/>
    <s v="Hong Kong Dollar"/>
    <s v="1.00"/>
    <s v=""/>
    <s v="Individual Fitness Programs"/>
    <n v="1500"/>
    <s v=""/>
    <s v="2025 Flexible Spending Account"/>
    <n v="1500"/>
  </r>
  <r>
    <x v="1"/>
    <s v="G2222222(2)"/>
    <s v="BBBBB"/>
    <s v="BBBBB"/>
    <s v="BBBBB"/>
    <s v="BBBBB@merck.com"/>
    <s v=""/>
    <s v=""/>
    <s v=""/>
    <s v="FLEXIBLE BENEFIT"/>
    <d v="2025-02-01T00:00:00"/>
    <s v="30/06/2025"/>
    <s v="25/06/2025"/>
    <s v="820"/>
    <s v="11/05/2025"/>
    <s v="N/A"/>
    <s v="Vision Care"/>
    <s v=""/>
    <s v="G2222222(2)"/>
    <s v="Employee"/>
    <s v="BBBBB"/>
    <n v="500"/>
    <s v="Hong Kong Dollar"/>
    <s v="1.00"/>
    <m/>
    <s v="Prescription glasses &amp; contact lenses"/>
    <n v="500"/>
    <s v=""/>
    <s v="2025 Flexible Spending Account"/>
    <n v="500"/>
  </r>
  <r>
    <x v="1"/>
    <s v="G2222222(2)"/>
    <s v="BBBBB"/>
    <s v="BBBBB"/>
    <s v="BBBBB"/>
    <s v="BBBBB@merck.com"/>
    <s v=""/>
    <s v=""/>
    <s v=""/>
    <s v="FLEXIBLE BENEFIT"/>
    <d v="2025-02-01T00:00:00"/>
    <s v="30/06/2025"/>
    <s v="25/06/2025"/>
    <s v="820"/>
    <s v="11/05/2025"/>
    <s v="N/A"/>
    <s v="Vision Care"/>
    <s v=""/>
    <s v="G2222222(2)"/>
    <s v="Employee"/>
    <s v="BBBBB"/>
    <n v="1000"/>
    <s v="Hong Kong Dollar"/>
    <s v="1.00"/>
    <m/>
    <s v="Prescription glasses &amp; contact lenses"/>
    <n v="1000"/>
    <m/>
    <s v="2025 Flexible Spending Account"/>
    <n v="1000"/>
  </r>
  <r>
    <x v="2"/>
    <s v="D3333333(3)"/>
    <s v="CCCCC"/>
    <s v="CCCCC"/>
    <s v="CCCCC"/>
    <s v="CCCCC@merck.com"/>
    <s v=""/>
    <s v=""/>
    <s v=""/>
    <s v="FLEXIBLE BENEFIT"/>
    <d v="2025-03-01T00:00:00"/>
    <s v=""/>
    <s v="01/06/2025"/>
    <s v="640"/>
    <s v="05/01/2025"/>
    <s v="N/A"/>
    <s v="Vision Care"/>
    <s v=""/>
    <s v="D3333333(3)"/>
    <s v="Employee"/>
    <s v="CCCCC"/>
    <n v="1500"/>
    <s v="Hong Kong Dollar"/>
    <s v="1.00"/>
    <m/>
    <s v="Prescription glasses &amp; contact lenses"/>
    <n v="1500"/>
    <s v=""/>
    <s v="2025 Flexible Spending Account"/>
    <n v="1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A3:B7" firstHeaderRow="1" firstDataRow="1" firstDataCol="1"/>
  <pivotFields count="30"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ransacted Amount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CCCC@merck.com" TargetMode="External"/><Relationship Id="rId2" Type="http://schemas.openxmlformats.org/officeDocument/2006/relationships/hyperlink" Target="mailto:BBBBB@merck.com" TargetMode="External"/><Relationship Id="rId1" Type="http://schemas.openxmlformats.org/officeDocument/2006/relationships/hyperlink" Target="mailto:AAAAA@MERCK.COM" TargetMode="External"/><Relationship Id="rId4" Type="http://schemas.openxmlformats.org/officeDocument/2006/relationships/hyperlink" Target="mailto:BBBBB@merck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"/>
  <sheetViews>
    <sheetView topLeftCell="AD1" workbookViewId="0">
      <selection activeCell="AN1" sqref="AN1:AN1048576"/>
    </sheetView>
  </sheetViews>
  <sheetFormatPr defaultColWidth="9" defaultRowHeight="13.5" x14ac:dyDescent="0.15"/>
  <cols>
    <col min="1" max="1" width="9.25" customWidth="1"/>
    <col min="11" max="11" width="10.25" customWidth="1"/>
    <col min="12" max="12" width="12.5" customWidth="1"/>
    <col min="21" max="21" width="9.25" customWidth="1"/>
    <col min="40" max="40" width="18.875" customWidth="1"/>
    <col min="41" max="41" width="13.5" customWidth="1"/>
  </cols>
  <sheetData>
    <row r="1" spans="1:4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s="3" t="s">
        <v>39</v>
      </c>
      <c r="AO1" s="3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15">
      <c r="A2">
        <v>12630001</v>
      </c>
      <c r="B2" t="s">
        <v>46</v>
      </c>
      <c r="C2" t="s">
        <v>46</v>
      </c>
      <c r="D2" t="s">
        <v>46</v>
      </c>
      <c r="E2" t="s">
        <v>46</v>
      </c>
      <c r="F2" t="s">
        <v>46</v>
      </c>
      <c r="G2" t="s">
        <v>47</v>
      </c>
      <c r="H2" t="s">
        <v>48</v>
      </c>
      <c r="I2" t="s">
        <v>46</v>
      </c>
      <c r="J2" t="s">
        <v>46</v>
      </c>
      <c r="K2">
        <v>11111111</v>
      </c>
      <c r="L2" t="s">
        <v>49</v>
      </c>
      <c r="M2" t="s">
        <v>50</v>
      </c>
      <c r="N2" t="s">
        <v>50</v>
      </c>
      <c r="O2" t="s">
        <v>50</v>
      </c>
      <c r="P2" t="s">
        <v>51</v>
      </c>
      <c r="Q2" t="s">
        <v>46</v>
      </c>
      <c r="R2" t="s">
        <v>46</v>
      </c>
      <c r="S2" t="s">
        <v>46</v>
      </c>
      <c r="T2" t="s">
        <v>52</v>
      </c>
      <c r="U2" s="4">
        <v>45658</v>
      </c>
      <c r="V2" t="s">
        <v>46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 t="s">
        <v>46</v>
      </c>
      <c r="AC2" t="s">
        <v>49</v>
      </c>
      <c r="AD2" t="s">
        <v>58</v>
      </c>
      <c r="AE2" t="s">
        <v>50</v>
      </c>
      <c r="AF2">
        <v>1500</v>
      </c>
      <c r="AG2" t="s">
        <v>59</v>
      </c>
      <c r="AH2" t="s">
        <v>60</v>
      </c>
      <c r="AI2" t="s">
        <v>46</v>
      </c>
      <c r="AJ2" t="s">
        <v>61</v>
      </c>
      <c r="AK2">
        <v>1500</v>
      </c>
      <c r="AL2" t="s">
        <v>46</v>
      </c>
      <c r="AM2" t="s">
        <v>62</v>
      </c>
      <c r="AN2">
        <v>1500</v>
      </c>
      <c r="AO2" t="s">
        <v>63</v>
      </c>
      <c r="AP2" t="s">
        <v>64</v>
      </c>
      <c r="AQ2" t="s">
        <v>65</v>
      </c>
      <c r="AR2" t="s">
        <v>66</v>
      </c>
      <c r="AS2" t="s">
        <v>67</v>
      </c>
      <c r="AT2" t="s">
        <v>68</v>
      </c>
    </row>
    <row r="3" spans="1:46" x14ac:dyDescent="0.15">
      <c r="A3">
        <v>12630002</v>
      </c>
      <c r="B3" t="s">
        <v>46</v>
      </c>
      <c r="C3" t="s">
        <v>46</v>
      </c>
      <c r="D3" t="s">
        <v>46</v>
      </c>
      <c r="E3" t="s">
        <v>46</v>
      </c>
      <c r="F3" t="s">
        <v>46</v>
      </c>
      <c r="G3" t="s">
        <v>47</v>
      </c>
      <c r="H3" t="s">
        <v>48</v>
      </c>
      <c r="I3" t="s">
        <v>46</v>
      </c>
      <c r="J3" t="s">
        <v>46</v>
      </c>
      <c r="K3">
        <v>22222222</v>
      </c>
      <c r="L3" t="s">
        <v>69</v>
      </c>
      <c r="M3" t="s">
        <v>70</v>
      </c>
      <c r="N3" t="s">
        <v>70</v>
      </c>
      <c r="O3" t="s">
        <v>70</v>
      </c>
      <c r="P3" t="s">
        <v>71</v>
      </c>
      <c r="Q3" t="s">
        <v>46</v>
      </c>
      <c r="R3" t="s">
        <v>46</v>
      </c>
      <c r="S3" t="s">
        <v>46</v>
      </c>
      <c r="T3" t="s">
        <v>52</v>
      </c>
      <c r="U3" s="4">
        <v>45689</v>
      </c>
      <c r="V3" t="s">
        <v>72</v>
      </c>
      <c r="W3" t="s">
        <v>73</v>
      </c>
      <c r="X3" t="s">
        <v>74</v>
      </c>
      <c r="Y3" t="s">
        <v>75</v>
      </c>
      <c r="Z3" t="s">
        <v>56</v>
      </c>
      <c r="AA3" t="s">
        <v>76</v>
      </c>
      <c r="AB3" t="s">
        <v>46</v>
      </c>
      <c r="AC3" t="s">
        <v>69</v>
      </c>
      <c r="AD3" t="s">
        <v>58</v>
      </c>
      <c r="AE3" t="s">
        <v>70</v>
      </c>
      <c r="AF3">
        <v>500</v>
      </c>
      <c r="AG3" t="s">
        <v>59</v>
      </c>
      <c r="AH3" t="s">
        <v>60</v>
      </c>
      <c r="AJ3" t="s">
        <v>77</v>
      </c>
      <c r="AK3">
        <v>500</v>
      </c>
      <c r="AL3" t="s">
        <v>46</v>
      </c>
      <c r="AM3" t="s">
        <v>62</v>
      </c>
      <c r="AN3">
        <v>500</v>
      </c>
      <c r="AO3" t="s">
        <v>63</v>
      </c>
      <c r="AP3" t="s">
        <v>78</v>
      </c>
      <c r="AQ3" t="s">
        <v>65</v>
      </c>
      <c r="AR3" t="s">
        <v>66</v>
      </c>
      <c r="AS3" t="s">
        <v>67</v>
      </c>
      <c r="AT3" t="s">
        <v>68</v>
      </c>
    </row>
    <row r="4" spans="1:46" x14ac:dyDescent="0.15">
      <c r="A4">
        <v>12630002</v>
      </c>
      <c r="B4" t="s">
        <v>46</v>
      </c>
      <c r="C4" t="s">
        <v>46</v>
      </c>
      <c r="D4" t="s">
        <v>46</v>
      </c>
      <c r="E4" t="s">
        <v>46</v>
      </c>
      <c r="F4" t="s">
        <v>46</v>
      </c>
      <c r="G4" t="s">
        <v>47</v>
      </c>
      <c r="H4" t="s">
        <v>48</v>
      </c>
      <c r="I4" t="s">
        <v>46</v>
      </c>
      <c r="J4" t="s">
        <v>46</v>
      </c>
      <c r="K4">
        <v>22222222</v>
      </c>
      <c r="L4" t="s">
        <v>69</v>
      </c>
      <c r="M4" t="s">
        <v>70</v>
      </c>
      <c r="N4" t="s">
        <v>70</v>
      </c>
      <c r="O4" t="s">
        <v>70</v>
      </c>
      <c r="P4" t="s">
        <v>71</v>
      </c>
      <c r="Q4" t="s">
        <v>46</v>
      </c>
      <c r="R4" t="s">
        <v>46</v>
      </c>
      <c r="S4" t="s">
        <v>46</v>
      </c>
      <c r="T4" t="s">
        <v>52</v>
      </c>
      <c r="U4" s="4">
        <v>45689</v>
      </c>
      <c r="V4" t="s">
        <v>72</v>
      </c>
      <c r="W4" t="s">
        <v>73</v>
      </c>
      <c r="X4" t="s">
        <v>74</v>
      </c>
      <c r="Y4" t="s">
        <v>75</v>
      </c>
      <c r="Z4" t="s">
        <v>56</v>
      </c>
      <c r="AA4" t="s">
        <v>76</v>
      </c>
      <c r="AB4" t="s">
        <v>46</v>
      </c>
      <c r="AC4" t="s">
        <v>69</v>
      </c>
      <c r="AD4" t="s">
        <v>58</v>
      </c>
      <c r="AE4" t="s">
        <v>70</v>
      </c>
      <c r="AF4">
        <v>1000</v>
      </c>
      <c r="AG4" t="s">
        <v>59</v>
      </c>
      <c r="AH4" t="s">
        <v>60</v>
      </c>
      <c r="AJ4" t="s">
        <v>77</v>
      </c>
      <c r="AK4">
        <v>1000</v>
      </c>
      <c r="AM4" t="s">
        <v>62</v>
      </c>
      <c r="AN4">
        <v>1000</v>
      </c>
      <c r="AO4" t="s">
        <v>63</v>
      </c>
      <c r="AP4" t="s">
        <v>78</v>
      </c>
      <c r="AQ4" t="s">
        <v>65</v>
      </c>
      <c r="AR4" t="s">
        <v>66</v>
      </c>
      <c r="AS4" t="s">
        <v>67</v>
      </c>
      <c r="AT4" t="s">
        <v>68</v>
      </c>
    </row>
    <row r="5" spans="1:46" x14ac:dyDescent="0.15">
      <c r="A5">
        <v>12630003</v>
      </c>
      <c r="B5" t="s">
        <v>46</v>
      </c>
      <c r="C5" t="s">
        <v>46</v>
      </c>
      <c r="D5" t="s">
        <v>46</v>
      </c>
      <c r="E5" t="s">
        <v>46</v>
      </c>
      <c r="F5" t="s">
        <v>46</v>
      </c>
      <c r="G5" t="s">
        <v>47</v>
      </c>
      <c r="H5" t="s">
        <v>48</v>
      </c>
      <c r="I5" t="s">
        <v>46</v>
      </c>
      <c r="J5" t="s">
        <v>46</v>
      </c>
      <c r="K5">
        <v>33333333</v>
      </c>
      <c r="L5" t="s">
        <v>79</v>
      </c>
      <c r="M5" t="s">
        <v>80</v>
      </c>
      <c r="N5" t="s">
        <v>80</v>
      </c>
      <c r="O5" t="s">
        <v>80</v>
      </c>
      <c r="P5" t="s">
        <v>81</v>
      </c>
      <c r="Q5" t="s">
        <v>46</v>
      </c>
      <c r="R5" t="s">
        <v>46</v>
      </c>
      <c r="S5" t="s">
        <v>46</v>
      </c>
      <c r="T5" t="s">
        <v>52</v>
      </c>
      <c r="U5" s="4">
        <v>45717</v>
      </c>
      <c r="V5" t="s">
        <v>46</v>
      </c>
      <c r="W5" t="s">
        <v>82</v>
      </c>
      <c r="X5" t="s">
        <v>83</v>
      </c>
      <c r="Y5" t="s">
        <v>84</v>
      </c>
      <c r="Z5" t="s">
        <v>56</v>
      </c>
      <c r="AA5" t="s">
        <v>76</v>
      </c>
      <c r="AB5" t="s">
        <v>46</v>
      </c>
      <c r="AC5" t="s">
        <v>79</v>
      </c>
      <c r="AD5" t="s">
        <v>58</v>
      </c>
      <c r="AE5" t="s">
        <v>80</v>
      </c>
      <c r="AF5">
        <v>1500</v>
      </c>
      <c r="AG5" t="s">
        <v>59</v>
      </c>
      <c r="AH5" t="s">
        <v>60</v>
      </c>
      <c r="AJ5" t="s">
        <v>77</v>
      </c>
      <c r="AK5">
        <v>1500</v>
      </c>
      <c r="AL5" t="s">
        <v>46</v>
      </c>
      <c r="AM5" t="s">
        <v>62</v>
      </c>
      <c r="AN5">
        <v>1500</v>
      </c>
      <c r="AO5" t="s">
        <v>63</v>
      </c>
      <c r="AP5" t="s">
        <v>85</v>
      </c>
      <c r="AQ5" t="s">
        <v>65</v>
      </c>
      <c r="AR5" t="s">
        <v>66</v>
      </c>
      <c r="AS5" t="s">
        <v>67</v>
      </c>
      <c r="AT5" t="s">
        <v>68</v>
      </c>
    </row>
  </sheetData>
  <phoneticPr fontId="2" type="noConversion"/>
  <hyperlinks>
    <hyperlink ref="P2" r:id="rId1"/>
    <hyperlink ref="P3" r:id="rId2"/>
    <hyperlink ref="P5" r:id="rId3"/>
    <hyperlink ref="P4" r:id="rId4"/>
  </hyperlinks>
  <pageMargins left="0.7" right="0.7" top="0.7" bottom="0.7" header="0.3" footer="0.3"/>
  <headerFooter>
    <oddHeader>&amp;L&amp;"Calibri"&amp;12&amp;K8E6A00 Confidential&amp;1#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tabSelected="1" workbookViewId="0">
      <selection activeCell="A4" sqref="A4:B4"/>
      <pivotSelection pane="bottomRight" showHeader="1" extendable="1" axis="axisRow" activeRow="3" previousRow="3" click="1" r:id="rId1">
        <pivotArea dataOnly="0" fieldPosition="0">
          <references count="1">
            <reference field="0" count="1">
              <x v="0"/>
            </reference>
          </references>
        </pivotArea>
      </pivotSelection>
    </sheetView>
  </sheetViews>
  <sheetFormatPr defaultColWidth="9" defaultRowHeight="13.5" x14ac:dyDescent="0.15"/>
  <cols>
    <col min="1" max="1" width="14.625" customWidth="1"/>
    <col min="2" max="2" width="28.875" customWidth="1"/>
  </cols>
  <sheetData>
    <row r="3" spans="1:2" x14ac:dyDescent="0.15">
      <c r="A3" t="s">
        <v>86</v>
      </c>
      <c r="B3" t="s">
        <v>87</v>
      </c>
    </row>
    <row r="4" spans="1:2" x14ac:dyDescent="0.15">
      <c r="A4" s="1">
        <v>11111111</v>
      </c>
      <c r="B4" s="2">
        <v>1500</v>
      </c>
    </row>
    <row r="5" spans="1:2" x14ac:dyDescent="0.15">
      <c r="A5" s="1">
        <v>22222222</v>
      </c>
      <c r="B5" s="2">
        <v>1500</v>
      </c>
    </row>
    <row r="6" spans="1:2" x14ac:dyDescent="0.15">
      <c r="A6" s="1">
        <v>33333333</v>
      </c>
      <c r="B6" s="2">
        <v>1500</v>
      </c>
    </row>
    <row r="7" spans="1:2" x14ac:dyDescent="0.15">
      <c r="A7" s="1" t="s">
        <v>88</v>
      </c>
      <c r="B7" s="2">
        <v>4500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Flex Claim Summary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imax</cp:lastModifiedBy>
  <dcterms:created xsi:type="dcterms:W3CDTF">2006-09-16T00:00:00Z</dcterms:created>
  <dcterms:modified xsi:type="dcterms:W3CDTF">2025-11-26T07:07:19Z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043f10a-881e-4653-a55e-02ca2cc829dc_Enabled">
    <vt:lpwstr>true</vt:lpwstr>
  </property>
  <property fmtid="{D5CDD505-2E9C-101B-9397-08002B2CF9AE}" pid="3" name="MSIP_Label_9043f10a-881e-4653-a55e-02ca2cc829dc_SetDate">
    <vt:lpwstr>2025-07-15T09:30:41Z</vt:lpwstr>
  </property>
  <property fmtid="{D5CDD505-2E9C-101B-9397-08002B2CF9AE}" pid="4" name="MSIP_Label_9043f10a-881e-4653-a55e-02ca2cc829dc_Method">
    <vt:lpwstr>Standard</vt:lpwstr>
  </property>
  <property fmtid="{D5CDD505-2E9C-101B-9397-08002B2CF9AE}" pid="5" name="MSIP_Label_9043f10a-881e-4653-a55e-02ca2cc829dc_Name">
    <vt:lpwstr>ADC_class_200</vt:lpwstr>
  </property>
  <property fmtid="{D5CDD505-2E9C-101B-9397-08002B2CF9AE}" pid="6" name="MSIP_Label_9043f10a-881e-4653-a55e-02ca2cc829dc_SiteId">
    <vt:lpwstr>94cfddbc-0627-494a-ad7a-29aea3aea832</vt:lpwstr>
  </property>
  <property fmtid="{D5CDD505-2E9C-101B-9397-08002B2CF9AE}" pid="7" name="MSIP_Label_9043f10a-881e-4653-a55e-02ca2cc829dc_ActionId">
    <vt:lpwstr>1282e6c2-9d63-451c-9827-3e40dee455bb</vt:lpwstr>
  </property>
  <property fmtid="{D5CDD505-2E9C-101B-9397-08002B2CF9AE}" pid="8" name="MSIP_Label_9043f10a-881e-4653-a55e-02ca2cc829dc_ContentBits">
    <vt:lpwstr>0</vt:lpwstr>
  </property>
  <property fmtid="{D5CDD505-2E9C-101B-9397-08002B2CF9AE}" pid="9" name="MSIP_Label_9043f10a-881e-4653-a55e-02ca2cc829dc_Tag">
    <vt:lpwstr>10, 3, 0, 1</vt:lpwstr>
  </property>
  <property fmtid="{D5CDD505-2E9C-101B-9397-08002B2CF9AE}" pid="10" name="MSIP_Label_2c56a699-e9bd-437a-8412-901342082749_Enabled">
    <vt:lpwstr>true</vt:lpwstr>
  </property>
  <property fmtid="{D5CDD505-2E9C-101B-9397-08002B2CF9AE}" pid="11" name="MSIP_Label_2c56a699-e9bd-437a-8412-901342082749_SetDate">
    <vt:lpwstr>2025-08-04T08:31:21Z</vt:lpwstr>
  </property>
  <property fmtid="{D5CDD505-2E9C-101B-9397-08002B2CF9AE}" pid="12" name="MSIP_Label_2c56a699-e9bd-437a-8412-901342082749_Method">
    <vt:lpwstr>Privileged</vt:lpwstr>
  </property>
  <property fmtid="{D5CDD505-2E9C-101B-9397-08002B2CF9AE}" pid="13" name="MSIP_Label_2c56a699-e9bd-437a-8412-901342082749_Name">
    <vt:lpwstr>2c56a699-e9bd-437a-8412-901342082749</vt:lpwstr>
  </property>
  <property fmtid="{D5CDD505-2E9C-101B-9397-08002B2CF9AE}" pid="14" name="MSIP_Label_2c56a699-e9bd-437a-8412-901342082749_SiteId">
    <vt:lpwstr>a00de4ec-48a8-43a6-be74-e31274e2060d</vt:lpwstr>
  </property>
  <property fmtid="{D5CDD505-2E9C-101B-9397-08002B2CF9AE}" pid="15" name="MSIP_Label_2c56a699-e9bd-437a-8412-901342082749_ActionId">
    <vt:lpwstr>70237efd-4064-47fd-ae6f-80f22c84ce93</vt:lpwstr>
  </property>
  <property fmtid="{D5CDD505-2E9C-101B-9397-08002B2CF9AE}" pid="16" name="MSIP_Label_2c56a699-e9bd-437a-8412-901342082749_ContentBits">
    <vt:lpwstr>1</vt:lpwstr>
  </property>
  <property fmtid="{D5CDD505-2E9C-101B-9397-08002B2CF9AE}" pid="17" name="MSIP_Label_2c56a699-e9bd-437a-8412-901342082749_Tag">
    <vt:lpwstr>10, 0, 1, 1</vt:lpwstr>
  </property>
  <property fmtid="{D5CDD505-2E9C-101B-9397-08002B2CF9AE}" pid="18" name="ICV">
    <vt:lpwstr>F709382817474DB69E7F4FC02C393342_13</vt:lpwstr>
  </property>
  <property fmtid="{D5CDD505-2E9C-101B-9397-08002B2CF9AE}" pid="19" name="KSOProductBuildVer">
    <vt:lpwstr>2052-12.1.0.23125</vt:lpwstr>
  </property>
</Properties>
</file>