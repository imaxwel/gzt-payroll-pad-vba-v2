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765" yWindow="765" windowWidth="13425" windowHeight="16260"/>
  </bookViews>
  <sheets>
    <sheet name="Dividend Payment Details" sheetId="3" r:id="rId1"/>
    <sheet name="Pivot" sheetId="6" r:id="rId2"/>
  </sheets>
  <calcPr calcId="162913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3" l="1"/>
  <c r="J5" i="3"/>
  <c r="R4" i="3"/>
  <c r="R3" i="3"/>
  <c r="R2" i="3"/>
  <c r="R5" i="3" s="1"/>
</calcChain>
</file>

<file path=xl/sharedStrings.xml><?xml version="1.0" encoding="utf-8"?>
<sst xmlns="http://schemas.openxmlformats.org/spreadsheetml/2006/main" count="45" uniqueCount="29">
  <si>
    <t>Employee Number</t>
  </si>
  <si>
    <t>Last Name</t>
  </si>
  <si>
    <t>First Name</t>
  </si>
  <si>
    <t>Plan Name</t>
  </si>
  <si>
    <t>Grant Name</t>
  </si>
  <si>
    <t>Award Name - Full</t>
  </si>
  <si>
    <t>Employee Grant Number</t>
  </si>
  <si>
    <t>Grant Date</t>
  </si>
  <si>
    <t>Release Date</t>
  </si>
  <si>
    <t>Units Released</t>
  </si>
  <si>
    <t>Dividend To Pay</t>
  </si>
  <si>
    <t>TERMINATION / LOA CODE</t>
  </si>
  <si>
    <t>TERMINATION / LOA CODE (Effective Date)</t>
  </si>
  <si>
    <t>AWARD TYPE CODE</t>
  </si>
  <si>
    <t>LOCATION CODE</t>
  </si>
  <si>
    <t>GRANT/ AWARD USER CODE 5</t>
  </si>
  <si>
    <t>Exchange rate(average in Apr.2025)</t>
  </si>
  <si>
    <t>RSU Dividend (HKD)</t>
  </si>
  <si>
    <t>AAAAA</t>
  </si>
  <si>
    <t>Merck 2015 Incentive Stock Plan...</t>
  </si>
  <si>
    <t>MERCK15D RSU 5/2/2023 117.89</t>
  </si>
  <si>
    <t>RSU - 30C</t>
  </si>
  <si>
    <t>Active</t>
  </si>
  <si>
    <t>RSUA</t>
  </si>
  <si>
    <t>HONGG</t>
  </si>
  <si>
    <t>99</t>
  </si>
  <si>
    <t>Row Labels</t>
  </si>
  <si>
    <t>Sum of RSU Dividend (HKD)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</si>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</sst>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8" formatCode="_(* #,##0.00_);_(* \(#,##0.00\);_(* &quot;-&quot;??_);_(@_)"/>
    <numFmt numFmtId="179" formatCode="dd\-mmm\-yyyy"/>
    <numFmt numFmtId="180" formatCode="#,###,###,###,###,###,###,###,###,###,###,###,###,###,###,###,###,###,###,###,###,###,###,###,###,###,###,###,###,###,###,###,###,##0"/>
    <numFmt numFmtId="181" formatCode="&quot;$&quot;#,###,###,###,###,###,###,###,###,###,###,###,###,###,###,###,###,###,###,###,###,###,###,###,###,###,###,###,###,###,###,###,###,##0.00"/>
    <numFmt numFmtId="182" formatCode="&quot;$&quot;#,##0.00"/>
  </numFmts>
  <fonts count="5" x14ac:knownFonts="1">
    <font>
      <sz val="11"/>
      <color theme="1"/>
      <name val="等线"/>
      <charset val="134"/>
      <scheme val="minor"/>
    </font>
    <font>
      <b/>
      <sz val="10"/>
      <name val="Arial"/>
      <family val="2"/>
    </font>
    <font>
      <sz val="10"/>
      <color rgb="FFFFFFFF"/>
      <name val="Arial"/>
      <family val="2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4D4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178" fontId="0" fillId="0" borderId="0" xfId="0" applyNumberFormat="1"/>
    <xf numFmtId="0" fontId="1" fillId="0" borderId="0" xfId="2"/>
    <xf numFmtId="0" fontId="2" fillId="2" borderId="1" xfId="2" applyFont="1" applyFill="1" applyBorder="1" applyAlignment="1">
      <alignment horizontal="center" vertical="center" wrapText="1"/>
    </xf>
    <xf numFmtId="0" fontId="3" fillId="3" borderId="2" xfId="2" applyFont="1" applyFill="1" applyBorder="1" applyAlignment="1">
      <alignment horizontal="left" vertical="top"/>
    </xf>
    <xf numFmtId="179" fontId="3" fillId="3" borderId="2" xfId="2" applyNumberFormat="1" applyFont="1" applyFill="1" applyBorder="1" applyAlignment="1">
      <alignment horizontal="center" vertical="top"/>
    </xf>
    <xf numFmtId="180" fontId="3" fillId="3" borderId="2" xfId="2" applyNumberFormat="1" applyFont="1" applyFill="1" applyBorder="1" applyAlignment="1">
      <alignment horizontal="right" vertical="top" wrapText="1"/>
    </xf>
    <xf numFmtId="181" fontId="3" fillId="3" borderId="2" xfId="2" applyNumberFormat="1" applyFont="1" applyFill="1" applyBorder="1" applyAlignment="1">
      <alignment horizontal="right" vertical="top"/>
    </xf>
    <xf numFmtId="0" fontId="3" fillId="3" borderId="3" xfId="2" applyFont="1" applyFill="1" applyBorder="1" applyAlignment="1">
      <alignment horizontal="left" vertical="top"/>
    </xf>
    <xf numFmtId="0" fontId="3" fillId="3" borderId="4" xfId="2" applyFont="1" applyFill="1" applyBorder="1" applyAlignment="1">
      <alignment horizontal="left" vertical="top"/>
    </xf>
    <xf numFmtId="180" fontId="1" fillId="0" borderId="0" xfId="2" applyNumberFormat="1"/>
    <xf numFmtId="181" fontId="1" fillId="0" borderId="0" xfId="2" applyNumberFormat="1"/>
    <xf numFmtId="182" fontId="1" fillId="0" borderId="0" xfId="2" applyNumberFormat="1"/>
    <xf numFmtId="0" fontId="3" fillId="4" borderId="5" xfId="0" applyFont="1" applyFill="1" applyBorder="1" applyAlignment="1">
      <alignment horizontal="center" vertical="center" wrapText="1"/>
    </xf>
    <xf numFmtId="0" fontId="1" fillId="0" borderId="0" xfId="1"/>
  </cellXfs>
  <cellStyles count="3">
    <cellStyle name="Normal 2" xfId="1"/>
    <cellStyle name="Normal 3" xfId="2"/>
    <cellStyle name="常规" xfId="0" builtinId="0"/>
  </cellStyles>
  <dxfs count="1">
    <dxf>
      <numFmt numFmtId="178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v, Aileen" refreshedDate="45905.731429398104" createdVersion="8" refreshedVersion="8" minRefreshableVersion="3" recordCount="3">
  <cacheSource type="worksheet">
    <worksheetSource ref="A1:R4" sheet="Dividend Payment Details"/>
  </cacheSource>
  <cacheFields count="18">
    <cacheField name="Employee Number" numFmtId="0">
      <sharedItems containsSemiMixedTypes="0" containsString="0" containsNumber="1" containsInteger="1" minValue="0" maxValue="33333333" count="3">
        <n v="11111111"/>
        <n v="22222222"/>
        <n v="33333333"/>
      </sharedItems>
    </cacheField>
    <cacheField name="Last Name" numFmtId="0">
      <sharedItems containsSemiMixedTypes="0" containsNonDate="0" containsString="0"/>
    </cacheField>
    <cacheField name="First Name" numFmtId="0">
      <sharedItems containsSemiMixedTypes="0" containsNonDate="0" containsString="0"/>
    </cacheField>
    <cacheField name="Plan Name" numFmtId="0">
      <sharedItems containsSemiMixedTypes="0" containsNonDate="0" containsString="0"/>
    </cacheField>
    <cacheField name="Grant Name" numFmtId="0">
      <sharedItems containsSemiMixedTypes="0" containsNonDate="0" containsString="0"/>
    </cacheField>
    <cacheField name="Award Name - Full" numFmtId="0">
      <sharedItems containsSemiMixedTypes="0" containsNonDate="0" containsString="0"/>
    </cacheField>
    <cacheField name="Employee Grant Number" numFmtId="0">
      <sharedItems containsSemiMixedTypes="0" containsNonDate="0" containsString="0"/>
    </cacheField>
    <cacheField name="Grant Date" numFmtId="179">
      <sharedItems containsSemiMixedTypes="0" containsNonDate="0" containsString="0"/>
    </cacheField>
    <cacheField name="Release Date" numFmtId="179">
      <sharedItems containsSemiMixedTypes="0" containsNonDate="0" containsString="0"/>
    </cacheField>
    <cacheField name="Units Released" numFmtId="180">
      <sharedItems containsSemiMixedTypes="0" containsNonDate="0" containsString="0"/>
    </cacheField>
    <cacheField name="Dividend To Pay" numFmtId="181">
      <sharedItems containsSemiMixedTypes="0" containsNonDate="0" containsString="0"/>
    </cacheField>
    <cacheField name="TERMINATION / LOA CODE" numFmtId="0">
      <sharedItems containsSemiMixedTypes="0" containsNonDate="0" containsString="0"/>
    </cacheField>
    <cacheField name="TERMINATION / LOA CODE (Effective Date)" numFmtId="179">
      <sharedItems containsSemiMixedTypes="0" containsNonDate="0" containsString="0"/>
    </cacheField>
    <cacheField name="AWARD TYPE CODE" numFmtId="0">
      <sharedItems containsSemiMixedTypes="0" containsNonDate="0" containsString="0"/>
    </cacheField>
    <cacheField name="LOCATION CODE" numFmtId="0">
      <sharedItems containsSemiMixedTypes="0" containsNonDate="0" containsString="0"/>
    </cacheField>
    <cacheField name="GRANT/ AWARD USER CODE 5" numFmtId="0">
      <sharedItems containsSemiMixedTypes="0" containsNonDate="0" containsString="0"/>
    </cacheField>
    <cacheField name="Exchange rate(average in Apr.2025)" numFmtId="0">
      <sharedItems containsSemiMixedTypes="0" containsNonDate="0" containsString="0"/>
    </cacheField>
    <cacheField name="RSU Dividend (HKD)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s v="AAAAA"/>
    <s v="AAAAA"/>
    <s v="Merck 2015 Incentive Stock Plan..."/>
    <s v="MERCK15D RSU 5/2/2023 117.89"/>
    <s v="RSU - 30C"/>
    <n v="11111"/>
    <d v="2023-05-02T00:00:00"/>
    <d v="2025-05-02T00:00:00"/>
    <n v="10"/>
    <n v="100"/>
    <s v="Active"/>
    <d v="2006-11-27T00:00:00"/>
    <s v="RSUA"/>
    <s v="HONGG"/>
    <m/>
    <n v="7.7763"/>
    <n v="777.63"/>
  </r>
  <r>
    <x v="1"/>
    <s v="AAAAA"/>
    <s v="AAAAA"/>
    <s v="Merck 2015 Incentive Stock Plan..."/>
    <s v="MERCK15D RSU 5/2/2023 117.89"/>
    <s v="RSU - 30C"/>
    <n v="22222"/>
    <d v="2023-05-02T00:00:00"/>
    <d v="2025-05-02T00:00:00"/>
    <n v="10"/>
    <n v="100"/>
    <s v="99"/>
    <d v="2021-12-01T00:00:00"/>
    <s v="RSUA"/>
    <s v="HONGG"/>
    <m/>
    <n v="7.7763"/>
    <n v="777.63"/>
  </r>
  <r>
    <x v="2"/>
    <s v="AAAAA"/>
    <s v="AAAAA"/>
    <s v="Merck 2015 Incentive Stock Plan..."/>
    <s v="MERCK15D RSU 5/2/2023 117.89"/>
    <s v="RSU - 30C"/>
    <n v="33333"/>
    <d v="2023-05-02T00:00:00"/>
    <d v="2025-05-02T00:00:00"/>
    <n v="10"/>
    <n v="100"/>
    <s v="Active"/>
    <d v="2008-09-08T00:00:00"/>
    <s v="RSUA"/>
    <s v="HONGG"/>
    <m/>
    <n v="7.7763"/>
    <n v="777.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3:B7" firstHeaderRow="1" firstDataRow="1" firstDataCol="1"/>
  <pivotFields count="18"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79" showAll="0"/>
    <pivotField numFmtId="179" showAll="0"/>
    <pivotField numFmtId="180" showAll="0"/>
    <pivotField numFmtId="181" showAll="0"/>
    <pivotField showAll="0"/>
    <pivotField numFmtId="179" showAll="0"/>
    <pivotField showAll="0"/>
    <pivotField showAll="0"/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SU Dividend (HKD)" fld="17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tabSelected="1" topLeftCell="I1" workbookViewId="0">
      <pane ySplit="1" topLeftCell="A2" activePane="bottomLeft" state="frozen"/>
      <selection pane="bottomLeft" activeCell="R1" sqref="R1"/>
    </sheetView>
  </sheetViews>
  <sheetFormatPr defaultColWidth="9" defaultRowHeight="12.75" x14ac:dyDescent="0.2"/>
  <cols>
    <col min="1" max="1" width="9.375" style="3" customWidth="1"/>
    <col min="2" max="2" width="14.875" style="3" customWidth="1"/>
    <col min="3" max="3" width="12.125" style="3" customWidth="1"/>
    <col min="4" max="4" width="28" style="3" customWidth="1"/>
    <col min="5" max="5" width="31.5" style="3" customWidth="1"/>
    <col min="6" max="6" width="8.75" style="3" customWidth="1"/>
    <col min="7" max="7" width="7" style="3" customWidth="1"/>
    <col min="8" max="9" width="11.375" style="3" customWidth="1"/>
    <col min="10" max="10" width="10.5" style="3" customWidth="1"/>
    <col min="11" max="11" width="11.875" style="3" customWidth="1"/>
    <col min="12" max="12" width="7" style="3" customWidth="1"/>
    <col min="13" max="13" width="11.375" style="3" customWidth="1"/>
    <col min="14" max="14" width="7" style="3" customWidth="1"/>
    <col min="15" max="15" width="13.875" style="3" customWidth="1"/>
    <col min="16" max="16" width="7" style="3" customWidth="1"/>
    <col min="17" max="16384" width="9" style="3"/>
  </cols>
  <sheetData>
    <row r="1" spans="1:18" ht="5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4" t="s">
        <v>16</v>
      </c>
      <c r="R1" s="14" t="s">
        <v>17</v>
      </c>
    </row>
    <row r="2" spans="1:18" x14ac:dyDescent="0.2">
      <c r="A2" s="5">
        <v>11111111</v>
      </c>
      <c r="B2" s="5" t="s">
        <v>18</v>
      </c>
      <c r="C2" s="5" t="s">
        <v>18</v>
      </c>
      <c r="D2" s="5" t="s">
        <v>19</v>
      </c>
      <c r="E2" s="5" t="s">
        <v>20</v>
      </c>
      <c r="F2" s="5" t="s">
        <v>21</v>
      </c>
      <c r="G2" s="5">
        <v>11111</v>
      </c>
      <c r="H2" s="6">
        <v>45048</v>
      </c>
      <c r="I2" s="6">
        <v>45779</v>
      </c>
      <c r="J2" s="7">
        <v>10</v>
      </c>
      <c r="K2" s="8">
        <v>100</v>
      </c>
      <c r="L2" s="5" t="s">
        <v>22</v>
      </c>
      <c r="M2" s="6">
        <v>39048</v>
      </c>
      <c r="N2" s="9" t="s">
        <v>23</v>
      </c>
      <c r="O2" s="10" t="s">
        <v>24</v>
      </c>
      <c r="P2" s="5"/>
      <c r="Q2" s="3">
        <v>7.7763</v>
      </c>
      <c r="R2" s="15">
        <f>ROUND(K2*Q2,2)</f>
        <v>777.63</v>
      </c>
    </row>
    <row r="3" spans="1:18" x14ac:dyDescent="0.2">
      <c r="A3" s="5">
        <v>22222222</v>
      </c>
      <c r="B3" s="5" t="s">
        <v>18</v>
      </c>
      <c r="C3" s="5" t="s">
        <v>18</v>
      </c>
      <c r="D3" s="5" t="s">
        <v>19</v>
      </c>
      <c r="E3" s="5" t="s">
        <v>20</v>
      </c>
      <c r="F3" s="5" t="s">
        <v>21</v>
      </c>
      <c r="G3" s="5">
        <v>22222</v>
      </c>
      <c r="H3" s="6">
        <v>45048</v>
      </c>
      <c r="I3" s="6">
        <v>45779</v>
      </c>
      <c r="J3" s="7">
        <v>10</v>
      </c>
      <c r="K3" s="8">
        <v>100</v>
      </c>
      <c r="L3" s="5" t="s">
        <v>25</v>
      </c>
      <c r="M3" s="6">
        <v>44531</v>
      </c>
      <c r="N3" s="9" t="s">
        <v>23</v>
      </c>
      <c r="O3" s="10" t="s">
        <v>24</v>
      </c>
      <c r="P3" s="5"/>
      <c r="Q3" s="3">
        <v>7.7763</v>
      </c>
      <c r="R3" s="15">
        <f t="shared" ref="R3:R4" si="0">ROUND(K3*Q3,2)</f>
        <v>777.63</v>
      </c>
    </row>
    <row r="4" spans="1:18" x14ac:dyDescent="0.2">
      <c r="A4" s="5">
        <v>33333333</v>
      </c>
      <c r="B4" s="5" t="s">
        <v>18</v>
      </c>
      <c r="C4" s="5" t="s">
        <v>18</v>
      </c>
      <c r="D4" s="5" t="s">
        <v>19</v>
      </c>
      <c r="E4" s="5" t="s">
        <v>20</v>
      </c>
      <c r="F4" s="5" t="s">
        <v>21</v>
      </c>
      <c r="G4" s="5">
        <v>33333</v>
      </c>
      <c r="H4" s="6">
        <v>45048</v>
      </c>
      <c r="I4" s="6">
        <v>45779</v>
      </c>
      <c r="J4" s="7">
        <v>10</v>
      </c>
      <c r="K4" s="8">
        <v>100</v>
      </c>
      <c r="L4" s="5" t="s">
        <v>22</v>
      </c>
      <c r="M4" s="6">
        <v>39699</v>
      </c>
      <c r="N4" s="9" t="s">
        <v>23</v>
      </c>
      <c r="O4" s="10" t="s">
        <v>24</v>
      </c>
      <c r="P4" s="5"/>
      <c r="Q4" s="3">
        <v>7.7763</v>
      </c>
      <c r="R4" s="15">
        <f t="shared" si="0"/>
        <v>777.63</v>
      </c>
    </row>
    <row r="5" spans="1:18" x14ac:dyDescent="0.2">
      <c r="J5" s="11">
        <f>SUM(J2:J4)</f>
        <v>30</v>
      </c>
      <c r="K5" s="12">
        <f>SUM(K2:K4)</f>
        <v>300</v>
      </c>
      <c r="R5" s="3">
        <f>SUM(R2:R4)</f>
        <v>2332.89</v>
      </c>
    </row>
    <row r="7" spans="1:18" x14ac:dyDescent="0.2">
      <c r="K7" s="13"/>
    </row>
  </sheetData>
  <phoneticPr fontId="4" type="noConversion"/>
  <pageMargins left="0.7" right="0.7" top="0.75" bottom="0.75" header="0.3" footer="0.3"/>
  <pageSetup paperSize="9" orientation="portrait" r:id="rId1"/>
  <headerFooter alignWithMargins="0">
    <oddHeader>&amp;L&amp;"Calibri"&amp;12&amp;K00B294 Proprietary&amp;1#
&amp;RDividend Payment Details - Equi</oddHeader>
    <oddFooter>&amp;C&amp;P / 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E17" sqref="E17"/>
    </sheetView>
  </sheetViews>
  <sheetFormatPr defaultColWidth="9" defaultRowHeight="14.25" x14ac:dyDescent="0.2"/>
  <cols>
    <col min="1" max="1" width="12.625" customWidth="1"/>
    <col min="2" max="2" width="25.5" customWidth="1"/>
  </cols>
  <sheetData>
    <row r="3" spans="1:2" x14ac:dyDescent="0.2">
      <c r="A3" t="s">
        <v>26</v>
      </c>
      <c r="B3" t="s">
        <v>27</v>
      </c>
    </row>
    <row r="4" spans="1:2" x14ac:dyDescent="0.2">
      <c r="A4" s="1">
        <v>11111111</v>
      </c>
      <c r="B4" s="2">
        <v>777.63</v>
      </c>
    </row>
    <row r="5" spans="1:2" x14ac:dyDescent="0.2">
      <c r="A5" s="1">
        <v>22222222</v>
      </c>
      <c r="B5" s="2">
        <v>777.63</v>
      </c>
    </row>
    <row r="6" spans="1:2" x14ac:dyDescent="0.2">
      <c r="A6" s="1">
        <v>33333333</v>
      </c>
      <c r="B6" s="2">
        <v>777.63</v>
      </c>
    </row>
    <row r="7" spans="1:2" x14ac:dyDescent="0.2">
      <c r="A7" s="1" t="s">
        <v>28</v>
      </c>
      <c r="B7" s="2">
        <v>2332.89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Dividend Payment Details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Lv, Aileen</dc:creator>
  <cp:lastModifiedBy>imax</cp:lastModifiedBy>
  <dcterms:created xsi:type="dcterms:W3CDTF">2015-06-05T18:17:00Z</dcterms:created>
  <dcterms:modified xsi:type="dcterms:W3CDTF">2025-11-26T07:08:36Z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56a699-e9bd-437a-8412-901342082749_Enabled">
    <vt:lpwstr>true</vt:lpwstr>
  </property>
  <property fmtid="{D5CDD505-2E9C-101B-9397-08002B2CF9AE}" pid="3" name="MSIP_Label_2c56a699-e9bd-437a-8412-901342082749_SetDate">
    <vt:lpwstr>2025-05-07T08:08:38Z</vt:lpwstr>
  </property>
  <property fmtid="{D5CDD505-2E9C-101B-9397-08002B2CF9AE}" pid="4" name="MSIP_Label_2c56a699-e9bd-437a-8412-901342082749_Method">
    <vt:lpwstr>Privileged</vt:lpwstr>
  </property>
  <property fmtid="{D5CDD505-2E9C-101B-9397-08002B2CF9AE}" pid="5" name="MSIP_Label_2c56a699-e9bd-437a-8412-901342082749_Name">
    <vt:lpwstr>2c56a699-e9bd-437a-8412-901342082749</vt:lpwstr>
  </property>
  <property fmtid="{D5CDD505-2E9C-101B-9397-08002B2CF9AE}" pid="6" name="MSIP_Label_2c56a699-e9bd-437a-8412-901342082749_SiteId">
    <vt:lpwstr>a00de4ec-48a8-43a6-be74-e31274e2060d</vt:lpwstr>
  </property>
  <property fmtid="{D5CDD505-2E9C-101B-9397-08002B2CF9AE}" pid="7" name="MSIP_Label_2c56a699-e9bd-437a-8412-901342082749_ActionId">
    <vt:lpwstr>7faf3717-cb21-40fc-8740-0059a3344b58</vt:lpwstr>
  </property>
  <property fmtid="{D5CDD505-2E9C-101B-9397-08002B2CF9AE}" pid="8" name="MSIP_Label_2c56a699-e9bd-437a-8412-901342082749_ContentBits">
    <vt:lpwstr>1</vt:lpwstr>
  </property>
  <property fmtid="{D5CDD505-2E9C-101B-9397-08002B2CF9AE}" pid="9" name="ICV">
    <vt:lpwstr>E2F2CF9CC27944549041F9304D2ACDA5_13</vt:lpwstr>
  </property>
  <property fmtid="{D5CDD505-2E9C-101B-9397-08002B2CF9AE}" pid="10" name="KSOProductBuildVer">
    <vt:lpwstr>2052-12.1.0.23125</vt:lpwstr>
  </property>
</Properties>
</file>