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bookViews>
    <workbookView xWindow="3420" yWindow="630" windowWidth="13425" windowHeight="16260" tabRatio="854"/>
  </bookViews>
  <sheets>
    <sheet name="Check Result" sheetId="131" r:id="rId1"/>
    <sheet name="HC Check" sheetId="4" r:id="rId2"/>
    <sheet name="Feb for check" sheetId="11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______new1">#REF!</definedName>
    <definedName name="_____new2">#REF!</definedName>
    <definedName name="_____Tax1">[1]Particulars!$A$1:$X$39</definedName>
    <definedName name="____DAT1">[2]rental!#REF!</definedName>
    <definedName name="____DAT10">[2]rental!#REF!</definedName>
    <definedName name="____DAT11">[2]rental!#REF!</definedName>
    <definedName name="____DAT12">#REF!</definedName>
    <definedName name="____DAT13">#REF!</definedName>
    <definedName name="____DAT14">#REF!</definedName>
    <definedName name="____DAT2">[2]rental!#REF!</definedName>
    <definedName name="____DAT3">[2]rental!#REF!</definedName>
    <definedName name="____DAT4">[2]rental!#REF!</definedName>
    <definedName name="____DAT5">[2]rental!#REF!</definedName>
    <definedName name="____DAT6">[2]rental!#REF!</definedName>
    <definedName name="____DAT7">[2]rental!#REF!</definedName>
    <definedName name="____DAT8">[2]rental!#REF!</definedName>
    <definedName name="____DAT9">[2]rental!#REF!</definedName>
    <definedName name="____wrn1" hidden="1">{#N/A,#N/A,FALSE,"FREEMAN";#N/A,#N/A,FALSE,"STEPHEN";#N/A,#N/A,FALSE,"VICTOR"}</definedName>
    <definedName name="____wrn2" hidden="1">{#N/A,#N/A,FALSE,"FREEMAN";#N/A,#N/A,FALSE,"STEPHEN";#N/A,#N/A,FALSE,"VICTOR"}</definedName>
    <definedName name="____wrn3" hidden="1">{#N/A,#N/A,FALSE,"FREEMAN";#N/A,#N/A,FALSE,"STEPHEN";#N/A,#N/A,FALSE,"VICTOR"}</definedName>
    <definedName name="____wrn4" hidden="1">{#N/A,#N/A,FALSE,"FREEMAN";#N/A,#N/A,FALSE,"STEPHEN";#N/A,#N/A,FALSE,"VICTOR"}</definedName>
    <definedName name="____wrn6" hidden="1">{#N/A,#N/A,FALSE,"FREEMAN";#N/A,#N/A,FALSE,"STEPHEN";#N/A,#N/A,FALSE,"VICTOR"}</definedName>
    <definedName name="___123Graph__AA" hidden="1">'[3]AOP Summary-2'!$A$2:$A$14</definedName>
    <definedName name="___DAT1">[2]rental!#REF!</definedName>
    <definedName name="___DAT10">[2]rental!#REF!</definedName>
    <definedName name="___DAT11">[2]rental!#REF!</definedName>
    <definedName name="___DAT12">#REF!</definedName>
    <definedName name="___DAT13">#REF!</definedName>
    <definedName name="___DAT14">#REF!</definedName>
    <definedName name="___DAT2">[2]rental!#REF!</definedName>
    <definedName name="___DAT3">[2]rental!#REF!</definedName>
    <definedName name="___DAT4">[2]rental!#REF!</definedName>
    <definedName name="___DAT5">[2]rental!#REF!</definedName>
    <definedName name="___DAT6">[2]rental!#REF!</definedName>
    <definedName name="___DAT7">[2]rental!#REF!</definedName>
    <definedName name="___DAT8">[2]rental!#REF!</definedName>
    <definedName name="___DAT9">[2]rental!#REF!</definedName>
    <definedName name="___mds_view_data___">'[4]SSC Hong Kong'!#REF!</definedName>
    <definedName name="___new1">#REF!</definedName>
    <definedName name="___new2">#REF!</definedName>
    <definedName name="___tax1">#REF!</definedName>
    <definedName name="___tax2">#REF!</definedName>
    <definedName name="___wrn1" hidden="1">{#N/A,#N/A,FALSE,"FREEMAN";#N/A,#N/A,FALSE,"STEPHEN";#N/A,#N/A,FALSE,"VICTOR"}</definedName>
    <definedName name="___wrn10" hidden="1">{#N/A,#N/A,FALSE,"FREEMAN";#N/A,#N/A,FALSE,"STEPHEN";#N/A,#N/A,FALSE,"VICTOR"}</definedName>
    <definedName name="___wrn11" hidden="1">{#N/A,#N/A,FALSE,"FREEMAN";#N/A,#N/A,FALSE,"STEPHEN";#N/A,#N/A,FALSE,"VICTOR"}</definedName>
    <definedName name="___wrn2" hidden="1">{#N/A,#N/A,FALSE,"FREEMAN";#N/A,#N/A,FALSE,"STEPHEN";#N/A,#N/A,FALSE,"VICTOR"}</definedName>
    <definedName name="___wrn3" hidden="1">{#N/A,#N/A,FALSE,"FREEMAN";#N/A,#N/A,FALSE,"STEPHEN";#N/A,#N/A,FALSE,"VICTOR"}</definedName>
    <definedName name="___wrn4" hidden="1">{#N/A,#N/A,FALSE,"FREEMAN";#N/A,#N/A,FALSE,"STEPHEN";#N/A,#N/A,FALSE,"VICTOR"}</definedName>
    <definedName name="___wrn6" hidden="1">{#N/A,#N/A,FALSE,"FREEMAN";#N/A,#N/A,FALSE,"STEPHEN";#N/A,#N/A,FALSE,"VICTOR"}</definedName>
    <definedName name="___wrn7" hidden="1">{#N/A,#N/A,FALSE,"FREEMAN";#N/A,#N/A,FALSE,"STEPHEN";#N/A,#N/A,FALSE,"VICTOR"}</definedName>
    <definedName name="___wrn8" hidden="1">{#N/A,#N/A,FALSE,"FREEMAN";#N/A,#N/A,FALSE,"STEPHEN";#N/A,#N/A,FALSE,"VICTOR"}</definedName>
    <definedName name="___wrn9" hidden="1">{#N/A,#N/A,FALSE,"FREEMAN";#N/A,#N/A,FALSE,"STEPHEN";#N/A,#N/A,FALSE,"VICTOR"}</definedName>
    <definedName name="__123Grapgh__s" hidden="1">'[3]AOP Summary-2'!$C$2:$C$14</definedName>
    <definedName name="__123Graph_A" hidden="1">'[5]AOP Summary-2'!$B$2:$B$14</definedName>
    <definedName name="__123Graph_B" hidden="1">'[5]AOP Summary-2'!$C$2:$C$14</definedName>
    <definedName name="__123Graph_C" hidden="1">[6]sal!#REF!</definedName>
    <definedName name="__123Graph_D" hidden="1">[6]sal!#REF!</definedName>
    <definedName name="__123Graph_E" hidden="1">[7]LOB!#REF!</definedName>
    <definedName name="__123Graph_F" hidden="1">[7]LOB!#REF!</definedName>
    <definedName name="__123Graph_X" hidden="1">'[5]AOP Summary-2'!$A$2:$A$14</definedName>
    <definedName name="__DAT1">[2]rental!#REF!</definedName>
    <definedName name="__DAT10">[2]rental!#REF!</definedName>
    <definedName name="__DAT11">[2]rental!#REF!</definedName>
    <definedName name="__DAT12">#REF!</definedName>
    <definedName name="__DAT13">#REF!</definedName>
    <definedName name="__DAT14">#REF!</definedName>
    <definedName name="__DAT15">#REF!</definedName>
    <definedName name="__DAT2">[2]rental!#REF!</definedName>
    <definedName name="__DAT3">[2]rental!#REF!</definedName>
    <definedName name="__DAT4">[2]rental!#REF!</definedName>
    <definedName name="__DAT5">[2]rental!#REF!</definedName>
    <definedName name="__DAT6">[2]rental!#REF!</definedName>
    <definedName name="__DAT7">[2]rental!#REF!</definedName>
    <definedName name="__DAT8">[2]rental!#REF!</definedName>
    <definedName name="__DAT9">[2]rental!#REF!</definedName>
    <definedName name="__IntlFixup" hidden="1">TRUE</definedName>
    <definedName name="__IntlFixupTable" hidden="1">#REF!</definedName>
    <definedName name="__new1">#REF!</definedName>
    <definedName name="__new2">#REF!</definedName>
    <definedName name="__TAX1">'[8]Lei Wang'!$M$11:$O$19</definedName>
    <definedName name="__tax2">#REF!</definedName>
    <definedName name="__tax3">#REF!</definedName>
    <definedName name="__wrn1" hidden="1">{#N/A,#N/A,FALSE,"FREEMAN";#N/A,#N/A,FALSE,"STEPHEN";#N/A,#N/A,FALSE,"VICTOR"}</definedName>
    <definedName name="__wrn10" hidden="1">{#N/A,#N/A,FALSE,"FREEMAN";#N/A,#N/A,FALSE,"STEPHEN";#N/A,#N/A,FALSE,"VICTOR"}</definedName>
    <definedName name="__wrn11" hidden="1">{#N/A,#N/A,FALSE,"FREEMAN";#N/A,#N/A,FALSE,"STEPHEN";#N/A,#N/A,FALSE,"VICTOR"}</definedName>
    <definedName name="__wrn2" hidden="1">{#N/A,#N/A,FALSE,"FREEMAN";#N/A,#N/A,FALSE,"STEPHEN";#N/A,#N/A,FALSE,"VICTOR"}</definedName>
    <definedName name="__wrn3" hidden="1">{#N/A,#N/A,FALSE,"FREEMAN";#N/A,#N/A,FALSE,"STEPHEN";#N/A,#N/A,FALSE,"VICTOR"}</definedName>
    <definedName name="__wrn4" hidden="1">{#N/A,#N/A,FALSE,"FREEMAN";#N/A,#N/A,FALSE,"STEPHEN";#N/A,#N/A,FALSE,"VICTOR"}</definedName>
    <definedName name="__wrn6" hidden="1">{#N/A,#N/A,FALSE,"FREEMAN";#N/A,#N/A,FALSE,"STEPHEN";#N/A,#N/A,FALSE,"VICTOR"}</definedName>
    <definedName name="__wrn7" hidden="1">{#N/A,#N/A,FALSE,"FREEMAN";#N/A,#N/A,FALSE,"STEPHEN";#N/A,#N/A,FALSE,"VICTOR"}</definedName>
    <definedName name="__wrn8" hidden="1">{#N/A,#N/A,FALSE,"FREEMAN";#N/A,#N/A,FALSE,"STEPHEN";#N/A,#N/A,FALSE,"VICTOR"}</definedName>
    <definedName name="__wrn9" hidden="1">{#N/A,#N/A,FALSE,"FREEMAN";#N/A,#N/A,FALSE,"STEPHEN";#N/A,#N/A,FALSE,"VICTOR"}</definedName>
    <definedName name="_1">#N/A</definedName>
    <definedName name="_123Graph_B" hidden="1">'[3]AOP Summary-2'!$B$2:$B$14</definedName>
    <definedName name="_1wrn.²Ä1­Ó¤ë1_Ü20¤H." hidden="1">{#N/A,#N/A,FALSE,"²Ä1­Ó¤ë"}</definedName>
    <definedName name="_2355">#REF!</definedName>
    <definedName name="_2wrn.²Ä1­Ó¤ë1_Ü20¤H." hidden="1">{#N/A,#N/A,FALSE,"²Ä1­Ó¤ë"}</definedName>
    <definedName name="_3wrn.²Ä1­Ó¤ë1_Ü20¤H." hidden="1">{#N/A,#N/A,FALSE,"²Ä1­Ó¤ë"}</definedName>
    <definedName name="_4wrn.²Ä1­Ó¤ë1_Ü20¤H." hidden="1">{#N/A,#N/A,FALSE,"²Ä1­Ó¤ë"}</definedName>
    <definedName name="_5wrn.²Ä1­Ó¤ë1_Ü20¤H." hidden="1">{#N/A,#N/A,FALSE,"²Ä1­Ó¤ë"}</definedName>
    <definedName name="_68wrn.²Ä1­Ó¤ë1_Ü20¤H." hidden="1">{#N/A,#N/A,FALSE,"²Ä1­Ó¤ë"}</definedName>
    <definedName name="_7wrn.²Ä1­Ó¤ë1_Ü20¤H." hidden="1">{#N/A,#N/A,FALSE,"²Ä1­Ó¤ë"}</definedName>
    <definedName name="_a1" hidden="1">{"'1-TheatreBkgs'!$A$1:$L$102"}</definedName>
    <definedName name="_a2" hidden="1">{"'1-TheatreBkgs'!$A$1:$L$102"}</definedName>
    <definedName name="_a3" hidden="1">{"'1-TheatreBkgs'!$A$1:$L$102"}</definedName>
    <definedName name="_a4" hidden="1">{"'1-TheatreBkgs'!$A$1:$L$102"}</definedName>
    <definedName name="_DAT1">[2]rental!#REF!</definedName>
    <definedName name="_DAT10">[2]rental!#REF!</definedName>
    <definedName name="_DAT11">[2]rental!#REF!</definedName>
    <definedName name="_DAT12">#REF!</definedName>
    <definedName name="_DAT13">#REF!</definedName>
    <definedName name="_DAT14">#REF!</definedName>
    <definedName name="_DAT15">#REF!</definedName>
    <definedName name="_DAT2">[2]rental!#REF!</definedName>
    <definedName name="_DAT3">[2]rental!#REF!</definedName>
    <definedName name="_DAT4">[2]rental!#REF!</definedName>
    <definedName name="_DAT5">[2]rental!#REF!</definedName>
    <definedName name="_DAT6">[2]rental!#REF!</definedName>
    <definedName name="_DAT7">[2]rental!#REF!</definedName>
    <definedName name="_DAT8">[2]rental!#REF!</definedName>
    <definedName name="_DAT9">[2]rental!#REF!</definedName>
    <definedName name="_Fill" hidden="1">#REF!</definedName>
    <definedName name="_xlnm._FilterDatabase" localSheetId="2" hidden="1">'Feb for check'!$A$2:$DW$133</definedName>
    <definedName name="_xlnm._FilterDatabase" hidden="1">[9]改訂履歴!#REF!</definedName>
    <definedName name="_Key1" hidden="1">[10]Intercopany1999.6!#REF!</definedName>
    <definedName name="_mc1">'[11]auswahl new'!$G$2:$G$7</definedName>
    <definedName name="_new1">#REF!</definedName>
    <definedName name="_new2">#REF!</definedName>
    <definedName name="_Order1" hidden="1">1</definedName>
    <definedName name="_Order2" hidden="1">0</definedName>
    <definedName name="_ref2" hidden="1">{#N/A,#N/A,FALSE,"S1 Theatre Sum";#N/A,#N/A,FALSE,"S2 U.S. B.S.POS";#N/A,#N/A,FALSE,"S3 US POS";#N/A,#N/A,FALSE,"S4 Family POS";#N/A,#N/A,FALSE,"S5 Ship vs POS";#N/A,#N/A,FALSE,"S6 Top VAR"}</definedName>
    <definedName name="_sex2" hidden="1">{"'1-TheatreBkgs'!$A$1:$L$102"}</definedName>
    <definedName name="_sex3" hidden="1">{"'1-TheatreBkgs'!$A$1:$L$102"}</definedName>
    <definedName name="_sex4" hidden="1">{"'1-TheatreBkgs'!$A$1:$L$102"}</definedName>
    <definedName name="_sex5" hidden="1">{"'1-TheatreBkgs'!$A$1:$L$102"}</definedName>
    <definedName name="_sex6" hidden="1">{"'1-TheatreBkgs'!$A$1:$L$102"}</definedName>
    <definedName name="_SGD3">[12]Echangerates!$D$59</definedName>
    <definedName name="_Sort" hidden="1">[10]Intercopany1999.6!#REF!</definedName>
    <definedName name="_TAX1">'[8]Lei Wang'!$M$11:$O$19</definedName>
    <definedName name="_tax2">#REF!</definedName>
    <definedName name="_tax3">#REF!</definedName>
    <definedName name="_v1" hidden="1">{"'1-TheatreBkgs'!$A$1:$L$102"}</definedName>
    <definedName name="_V2" hidden="1">{"'1-TheatreBkgs'!$A$1:$L$102"}</definedName>
    <definedName name="_v3" hidden="1">{"'1-TheatreBkgs'!$A$1:$L$102"}</definedName>
    <definedName name="_wrn1" hidden="1">{#N/A,#N/A,FALSE,"FREEMAN";#N/A,#N/A,FALSE,"STEPHEN";#N/A,#N/A,FALSE,"VICTOR"}</definedName>
    <definedName name="_wrn10" hidden="1">{#N/A,#N/A,FALSE,"FREEMAN";#N/A,#N/A,FALSE,"STEPHEN";#N/A,#N/A,FALSE,"VICTOR"}</definedName>
    <definedName name="_wrn11" hidden="1">{#N/A,#N/A,FALSE,"FREEMAN";#N/A,#N/A,FALSE,"STEPHEN";#N/A,#N/A,FALSE,"VICTOR"}</definedName>
    <definedName name="_wrn2" hidden="1">{#N/A,#N/A,FALSE,"FREEMAN";#N/A,#N/A,FALSE,"STEPHEN";#N/A,#N/A,FALSE,"VICTOR"}</definedName>
    <definedName name="_wrn3" hidden="1">{#N/A,#N/A,FALSE,"FREEMAN";#N/A,#N/A,FALSE,"STEPHEN";#N/A,#N/A,FALSE,"VICTOR"}</definedName>
    <definedName name="_wrn4" hidden="1">{#N/A,#N/A,FALSE,"FREEMAN";#N/A,#N/A,FALSE,"STEPHEN";#N/A,#N/A,FALSE,"VICTOR"}</definedName>
    <definedName name="_wrn5" hidden="1">{#N/A,#N/A,FALSE,"FREEMAN";#N/A,#N/A,FALSE,"STEPHEN";#N/A,#N/A,FALSE,"VICTOR"}</definedName>
    <definedName name="_wrn6" hidden="1">{#N/A,#N/A,FALSE,"FREEMAN";#N/A,#N/A,FALSE,"STEPHEN";#N/A,#N/A,FALSE,"VICTOR"}</definedName>
    <definedName name="_wrn7" hidden="1">{#N/A,#N/A,FALSE,"FREEMAN";#N/A,#N/A,FALSE,"STEPHEN";#N/A,#N/A,FALSE,"VICTOR"}</definedName>
    <definedName name="_wrn8" hidden="1">{#N/A,#N/A,FALSE,"FREEMAN";#N/A,#N/A,FALSE,"STEPHEN";#N/A,#N/A,FALSE,"VICTOR"}</definedName>
    <definedName name="_wrn9" hidden="1">{#N/A,#N/A,FALSE,"FREEMAN";#N/A,#N/A,FALSE,"STEPHEN";#N/A,#N/A,FALSE,"VICTOR"}</definedName>
    <definedName name="a">'[13]Tax rate'!$A$1:$C$9</definedName>
    <definedName name="a.1" hidden="1">{#N/A,#N/A,FALSE,"²Ä1­Ó¤ë"}</definedName>
    <definedName name="A.2" hidden="1">{#N/A,#N/A,FALSE,"²Ä1­Ó¤ë"}</definedName>
    <definedName name="A12css" hidden="1">{#N/A,#N/A,FALSE,"FREEMAN";#N/A,#N/A,FALSE,"STEPHEN";#N/A,#N/A,FALSE,"VICTOR"}</definedName>
    <definedName name="aa">#REF!</definedName>
    <definedName name="aaa" hidden="1">{#N/A,#N/A,FALSE,"²Ä1­Ó¤ë"}</definedName>
    <definedName name="aaaaaaaaaaaaaa">#REF!</definedName>
    <definedName name="ab">#REF!</definedName>
    <definedName name="abb">'[14]IR56 Forms Option List'!$C$3:$C$10</definedName>
    <definedName name="abc" hidden="1">{#N/A,#N/A,FALSE,"FREEMAN";#N/A,#N/A,FALSE,"STEPHEN";#N/A,#N/A,FALSE,"VICTOR"}</definedName>
    <definedName name="abcd">#REF!</definedName>
    <definedName name="AccessDatabase" hidden="1">"D:\Bonuses\commission Forecast\FY99 Commission Forecast Q4YTD Belgium.mdb"</definedName>
    <definedName name="AccrualType">[15]Ref_Info!$D$4:$D$19</definedName>
    <definedName name="achcode">[16]Configuration!$A$19:$A$200</definedName>
    <definedName name="ActiveNoRecovery">#REF!</definedName>
    <definedName name="ActiveRecovery">#REF!</definedName>
    <definedName name="AD">#REF!</definedName>
    <definedName name="adasdwqedqwdwq">#REF!</definedName>
    <definedName name="adminh">#REF!</definedName>
    <definedName name="aFilelistbox">"リスト 4"</definedName>
    <definedName name="aKoumokulistbox">"リスト 7"</definedName>
    <definedName name="ALA" hidden="1">{#N/A,#N/A,FALSE,"FREEMAN";#N/A,#N/A,FALSE,"STEPHEN";#N/A,#N/A,FALSE,"VICTOR"}</definedName>
    <definedName name="aMakeDoc">"ボタン 6"</definedName>
    <definedName name="aMakeDocbottun">"ボタン 6"</definedName>
    <definedName name="Amount">[17]Feb!#REF!</definedName>
    <definedName name="Annual_salary_code">[18]Values!$K$2:$K$6</definedName>
    <definedName name="apac" hidden="1">{"'1-TheatreBkgs'!$A$1:$L$102"}</definedName>
    <definedName name="apac2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apac3" hidden="1">{"'1-TheatreBkgs'!$A$1:$L$102"}</definedName>
    <definedName name="as">#REF!</definedName>
    <definedName name="AS2DocOpenMode" hidden="1">"AS2DocumentEdit"</definedName>
    <definedName name="asaaa">#REF!</definedName>
    <definedName name="asd">#REF!</definedName>
    <definedName name="asdasd">#REF!</definedName>
    <definedName name="asdasqqq">#REF!</definedName>
    <definedName name="asdaw">#REF!</definedName>
    <definedName name="asdg" hidden="1">{"'1-TheatreBkgs'!$A$1:$L$102"}</definedName>
    <definedName name="asds">#REF!</definedName>
    <definedName name="asdsad">#REF!</definedName>
    <definedName name="asdsdaa">#REF!</definedName>
    <definedName name="asiapac" hidden="1">{"'1-TheatreBkgs'!$A$1:$L$102"}</definedName>
    <definedName name="ass_name">'[19]Assignee Data'!$A$4:$A$170</definedName>
    <definedName name="Assignment_Table">#REF!</definedName>
    <definedName name="Audrey">#REF!</definedName>
    <definedName name="autopayFile2">'[20]HSBC Submission Form'!#REF!</definedName>
    <definedName name="autopayFile3">'[20]HSBC Submission Form'!#REF!</definedName>
    <definedName name="autopayFile4">'[20]HSBC Submission Form'!#REF!</definedName>
    <definedName name="autopayFile5">'[20]HSBC Submission Form'!#REF!</definedName>
    <definedName name="autopayFile6">'[20]HSBC Submission Form'!#REF!</definedName>
    <definedName name="autopayFile7">'[20]HSBC Submission Form'!#REF!</definedName>
    <definedName name="avc" hidden="1">{#N/A,#N/A,FALSE,"第1個月"}</definedName>
    <definedName name="b">[21]大花表08!#REF!</definedName>
    <definedName name="balaftertaxstart">[22]BalAfterTax!#REF!</definedName>
    <definedName name="bb" hidden="1">{#N/A,#N/A,FALSE,"FREEMAN";#N/A,#N/A,FALSE,"STEPHEN";#N/A,#N/A,FALSE,"VICTOR"}</definedName>
    <definedName name="bc">#REF!</definedName>
    <definedName name="beneid">[16]Vendor!$A$7:$A$65536</definedName>
    <definedName name="bjgh">#REF!</definedName>
    <definedName name="bjghsz">#REF!</definedName>
    <definedName name="bjshenH">#REF!</definedName>
    <definedName name="blahblah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NE_MESSAGES_HIDDEN" hidden="1">#REF!</definedName>
    <definedName name="Bonus">[23]Ref!$AN$5:$AN$6</definedName>
    <definedName name="BOOL_10">[24]Sheet2!$F$1:$F$2</definedName>
    <definedName name="BOOL_11">[24]Sheet2!$G$1:$G$2</definedName>
    <definedName name="BOOL_13">[24]Sheet2!$H$1:$H$2</definedName>
    <definedName name="BOOL_16">[25]Sheet2!$B$1:$B$2</definedName>
    <definedName name="BOOL_19">[26]Sheet2!$C$1:$C$2</definedName>
    <definedName name="BOOL_21">[25]Sheet2!$D$1:$D$2</definedName>
    <definedName name="BOOL_22">[25]Sheet2!$E$1:$E$2</definedName>
    <definedName name="BOOL_23">[25]Sheet2!$F$1:$F$2</definedName>
    <definedName name="BOOL_24">[25]Sheet2!$G$1:$G$2</definedName>
    <definedName name="BOOL_26">[25]Sheet2!$H$1:$H$2</definedName>
    <definedName name="BOOL_29">[24]Sheet2!$R$1:$R$2</definedName>
    <definedName name="BOOL_3">[24]Sheet2!$B$1:$B$2</definedName>
    <definedName name="BOOL_42">[25]Sheet2!$R$1:$R$2</definedName>
    <definedName name="BOOL_8">[24]Sheet2!$D$1:$D$2</definedName>
    <definedName name="BOOL_9">[24]Sheet2!$E$1:$E$2</definedName>
    <definedName name="BtfeIndexSheetTable">#REF!</definedName>
    <definedName name="BTO">#REF!</definedName>
    <definedName name="Cal_P000">#REF!</definedName>
    <definedName name="CalYear">#REF!</definedName>
    <definedName name="carol">[27]Sheet1!$B$4:$B$12</definedName>
    <definedName name="cate">'[28]Auth List Glossary'!$E$2:$E$7</definedName>
    <definedName name="CATEGORY">#REF!</definedName>
    <definedName name="cba">'[14]IR56 Forms Option List'!$I$3:$I$16</definedName>
    <definedName name="CC">'[29]Data Source'!$D$1:$Q$65536</definedName>
    <definedName name="CellPayrollEnd">'[30]BiM-Exist'!$F$8</definedName>
    <definedName name="CellPayrollStart">'[30]BiM-Exist'!$D$8</definedName>
    <definedName name="Chance">#REF!</definedName>
    <definedName name="ChannelUser">#REF!</definedName>
    <definedName name="Check">#REF!</definedName>
    <definedName name="checkinfo" hidden="1">{#N/A,#N/A,FALSE,"FREEMAN";#N/A,#N/A,FALSE,"STEPHEN";#N/A,#N/A,FALSE,"VICTOR"}</definedName>
    <definedName name="checks">'[31]II-4.1 Personnel'!#REF!</definedName>
    <definedName name="ClientLegalNm">#REF!</definedName>
    <definedName name="ClosedNoRecovery">#REF!</definedName>
    <definedName name="ClosedRecovery">#REF!</definedName>
    <definedName name="CoCode">#REF!</definedName>
    <definedName name="code">[32]Ref!$B$4:$B$13</definedName>
    <definedName name="code1">[23]Ref!$R$4:$R$17</definedName>
    <definedName name="com" hidden="1">{"'1-TheatreBkgs'!$A$1:$L$102"}</definedName>
    <definedName name="CombineID">#REF!</definedName>
    <definedName name="Comment_Column">#REF!</definedName>
    <definedName name="commission" hidden="1">{"'1-TheatreBkgs'!$A$1:$L$102"}</definedName>
    <definedName name="Communication">#REF!</definedName>
    <definedName name="Company">#REF!</definedName>
    <definedName name="Company_Details">#REF!</definedName>
    <definedName name="companylist">[33]Sheet1!$A$2:$A$17</definedName>
    <definedName name="Contract_type">[18]Values!$I$2:$I$4</definedName>
    <definedName name="ContractNumber">#REF!</definedName>
    <definedName name="ContractType">[34]List!$G$2:$G$3</definedName>
    <definedName name="corpstart">'[22]corptax (3)'!$G$11</definedName>
    <definedName name="CostCode">#REF!</definedName>
    <definedName name="CostPerHour">#REF!</definedName>
    <definedName name="count">'[28]Auth List Glossary'!$O$2:$O$56</definedName>
    <definedName name="country">[24]Sheet2!$O$1:$O$13</definedName>
    <definedName name="Countrycode">[18]Values!$E$2:$E$240</definedName>
    <definedName name="CPE_number">#REF!</definedName>
    <definedName name="CPE_siteNum">#REF!</definedName>
    <definedName name="CPE_total">#REF!</definedName>
    <definedName name="CQTO">#REF!</definedName>
    <definedName name="CRDD">#REF!</definedName>
    <definedName name="CritO">[35]Q2!#REF!</definedName>
    <definedName name="CRRD">#REF!</definedName>
    <definedName name="curr_totaleffective">'[36]taxrates (2)'!$A$33</definedName>
    <definedName name="currdim">'[36]general (1)'!$G$18</definedName>
    <definedName name="CURRENCIES">[37]Template!$Q$5:$Q$243</definedName>
    <definedName name="Currency">[38]Validation!$A$2:$A$11</definedName>
    <definedName name="CurrencyClass">[39]Sheet2!$J$1</definedName>
    <definedName name="Currencycode">[18]Values!$P$2:$P$212</definedName>
    <definedName name="current">#REF!</definedName>
    <definedName name="currentcols">#REF!,#REF!</definedName>
    <definedName name="currentin">#REF!</definedName>
    <definedName name="currenttaxstart">#REF!</definedName>
    <definedName name="currforreports">'[22]deftax (11)'!#REF!</definedName>
    <definedName name="CustomerLegalName">#REF!</definedName>
    <definedName name="CustomerNumber">#REF!</definedName>
    <definedName name="CV_Name">'[40]Pay Type List V4-0'!$B$3:$B$323</definedName>
    <definedName name="dadlcurrent">#REF!</definedName>
    <definedName name="dadlprior">#REF!</definedName>
    <definedName name="dadlpriorstart">#REF!</definedName>
    <definedName name="dadlstart">#REF!</definedName>
    <definedName name="data">'[41]payroll summary 0806 (by pa (3)'!$B$3:$DK$86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2">#REF!</definedName>
    <definedName name="DataRange">#REF!</definedName>
    <definedName name="Days">{0,1,2,3,4,5,6}+{0;1;2;3;4;5}*7</definedName>
    <definedName name="dd" hidden="1">{#N/A,#N/A,FALSE,"²Ä1­Ó¤ë"}</definedName>
    <definedName name="ddd">#REF!</definedName>
    <definedName name="dddd" hidden="1">{"'1-TheatreBkgs'!$A$1:$L$102"}</definedName>
    <definedName name="ddddd" hidden="1">{"'1-TheatreBkgs'!$A$1:$L$102"}</definedName>
    <definedName name="ddfjsaldfjsda" hidden="1">{"'1-TheatreBkgs'!$A$1:$L$102"}</definedName>
    <definedName name="ddsa">#REF!</definedName>
    <definedName name="DE">#REF!</definedName>
    <definedName name="def_corpsurcharge">'[22]taxrates (2)'!$B$16</definedName>
    <definedName name="del" hidden="1">{"'1-TheatreBkgs'!$A$1:$L$102"}</definedName>
    <definedName name="Dept">#REF!</definedName>
    <definedName name="dfghj">#REF!</definedName>
    <definedName name="dian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etplan" hidden="1">{"'1-TheatreBkgs'!$A$1:$L$102"}</definedName>
    <definedName name="djfdsfjdsfjsa" hidden="1">{"'1-TheatreBkgs'!$A$1:$L$102"}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PA">[16]Configuration!$H$12:$H$212</definedName>
    <definedName name="dpts" hidden="1">{"'Sheet1'!$A$1:$AI$34","'Sheet1'!$A$1:$AI$31","'Sheet1'!$B$2:$AM$25"}</definedName>
    <definedName name="drive_Change">#N/A</definedName>
    <definedName name="eAgent2" hidden="1">{#N/A,#N/A,FALSE,"S1 Theatre Sum";#N/A,#N/A,FALSE,"S2 U.S. B.S.POS";#N/A,#N/A,FALSE,"S3 US POS";#N/A,#N/A,FALSE,"S4 Family POS";#N/A,#N/A,FALSE,"S5 Ship vs POS";#N/A,#N/A,FALSE,"S6 Top VAR"}</definedName>
    <definedName name="eee" hidden="1">{"'1-TheatreBkgs'!$A$1:$L$102"}</definedName>
    <definedName name="ei.ERNST." hidden="1">{#N/A,#N/A,FALSE,"YTCHAN";#N/A,#N/A,FALSE,"TOMMY";#N/A,#N/A,FALSE,"REP.OFFICE";#N/A,#N/A,FALSE,"E&amp;Y_CONSULTANT";#N/A,#N/A,FALSE,"BT &amp; CIT"}</definedName>
    <definedName name="email">#REF!</definedName>
    <definedName name="email1">#REF!</definedName>
    <definedName name="email2">#REF!</definedName>
    <definedName name="EMPANLVCALCCLASS">[24]Sheet2!$J$1</definedName>
    <definedName name="employee">#REF!</definedName>
    <definedName name="Employee_Group">[42]Values!$R$2:$R$3</definedName>
    <definedName name="Employee_subgroup">[18]Values!$G$2:$G$11</definedName>
    <definedName name="employeehire">#REF!</definedName>
    <definedName name="EmploymentType">#REF!</definedName>
    <definedName name="End">#REF!</definedName>
    <definedName name="ENTY">[43]Lists!$B$1:$B$4</definedName>
    <definedName name="equity">#REF!</definedName>
    <definedName name="ernst" hidden="1">{#N/A,#N/A,FALSE,"YTCHAN";#N/A,#N/A,FALSE,"TOMMY";#N/A,#N/A,FALSE,"REP.OFFICE";#N/A,#N/A,FALSE,"E&amp;Y_CONSULTANT";#N/A,#N/A,FALSE,"BT &amp; CIT"}</definedName>
    <definedName name="Exit_Reason">[18]Values!$Q$2:$Q$12</definedName>
    <definedName name="ExpCrit">[44]V_IS!$C$25</definedName>
    <definedName name="ExternalLaborHours">#REF!</definedName>
    <definedName name="Extra_payment_code">[18]Values!$M$2:$M$3</definedName>
    <definedName name="EYST" hidden="1">{#N/A,#N/A,FALSE,"FREEMAN";#N/A,#N/A,FALSE,"STEPHEN";#N/A,#N/A,FALSE,"VICTOR"}</definedName>
    <definedName name="faf">#REF!</definedName>
    <definedName name="ff" hidden="1">{"'1-TheatreBkgs'!$A$1:$L$102"}</definedName>
    <definedName name="fff" hidden="1">{"'1-TheatreBkgs'!$A$1:$L$102"}</definedName>
    <definedName name="FGGFHFH32435">#REF!</definedName>
    <definedName name="FieldID">#REF!</definedName>
    <definedName name="FilingAddress">#REF!</definedName>
    <definedName name="FinanceType">#REF!</definedName>
    <definedName name="FinancialData">#REF!</definedName>
    <definedName name="flagothercurr">'[22]consinfo (10)'!#REF!</definedName>
    <definedName name="flower" hidden="1">{#N/A,#N/A,FALSE,"S1 Theatre Sum";#N/A,#N/A,FALSE,"S2 U.S. B.S.POS";#N/A,#N/A,FALSE,"S3 US POS";#N/A,#N/A,FALSE,"S4 Family POS";#N/A,#N/A,FALSE,"S5 Ship vs POS";#N/A,#N/A,FALSE,"S6 Top VAR"}</definedName>
    <definedName name="fofoofofo" hidden="1">{#N/A,#N/A,FALSE,"S1 Theatre Sum";#N/A,#N/A,FALSE,"S2 U.S. B.S.POS";#N/A,#N/A,FALSE,"S3 US POS";#N/A,#N/A,FALSE,"S4 Family POS";#N/A,#N/A,FALSE,"S5 Ship vs POS";#N/A,#N/A,FALSE,"S6 Top VAR"}</definedName>
    <definedName name="Form_of_adress">[18]Values!$A$2:$A$3</definedName>
    <definedName name="Form1_Show">#N/A</definedName>
    <definedName name="Format">#REF!</definedName>
    <definedName name="Formulae">#REF!</definedName>
    <definedName name="fsd" hidden="1">{"'1-TheatreBkgs'!$A$1:$L$102"}</definedName>
    <definedName name="fsdf" hidden="1">{"'1-TheatreBkgs'!$A$1:$L$102"}</definedName>
    <definedName name="Function">[18]Values!$H$2:$H$40</definedName>
    <definedName name="g" hidden="1">{"'1-TheatreBkgs'!$A$1:$L$102"}</definedName>
    <definedName name="gg">#REF!</definedName>
    <definedName name="gggg" hidden="1">{"'1-TheatreBkgs'!$A$1:$L$102"}</definedName>
    <definedName name="ghbj">#REF!</definedName>
    <definedName name="ghsz">#REF!</definedName>
    <definedName name="Gicqueau">#REF!</definedName>
    <definedName name="giri" hidden="1">[6]sal!#REF!</definedName>
    <definedName name="Gross_Up">'[45]IIT Rate Table'!$C$10:$F$18</definedName>
    <definedName name="Grossup">#REF!</definedName>
    <definedName name="gs">#REF!</definedName>
    <definedName name="gsaf">#REF!</definedName>
    <definedName name="gsal">#REF!</definedName>
    <definedName name="gsallc">#REF!</definedName>
    <definedName name="gsas">#REF!</definedName>
    <definedName name="GSAus">#REF!</definedName>
    <definedName name="gsbj">#REF!</definedName>
    <definedName name="gsbj2">#REF!</definedName>
    <definedName name="gscq">#REF!</definedName>
    <definedName name="gsfal">#REF!</definedName>
    <definedName name="GSKor">#REF!</definedName>
    <definedName name="gsnj">#REF!</definedName>
    <definedName name="HashValue">#REF!</definedName>
    <definedName name="Header">#REF!</definedName>
    <definedName name="HEADS">#REF!,#REF!,#REF!,#REF!,#REF!,#REF!,#REF!,#REF!,#REF!,#REF!,#REF!,#REF!,#REF!</definedName>
    <definedName name="HeadSoft" hidden="1">#REF!</definedName>
    <definedName name="help" hidden="1">{"'1-TheatreBkgs'!$A$1:$L$102"}</definedName>
    <definedName name="hi">#REF!</definedName>
    <definedName name="HKD">[46]Rate!$B$5</definedName>
    <definedName name="HKregion">#REF!</definedName>
    <definedName name="HLHK">#REF!</definedName>
    <definedName name="HO">#REF!</definedName>
    <definedName name="holidayclass">[24]Sheet2!$I$1:$I$4</definedName>
    <definedName name="HRSTATUS">[24]Sheet2!$L$1:$L$3</definedName>
    <definedName name="hsu" hidden="1">{#N/A,#N/A,FALSE,"²Ä1­Ó¤ë"}</definedName>
    <definedName name="HTML_CodePage" hidden="1">1252</definedName>
    <definedName name="HTML_Control" hidden="1">{"'1-TheatreBkgs'!$A$1:$L$102"}</definedName>
    <definedName name="HTML_Control1" hidden="1">{"'1-TheatreBkgs'!$A$1:$L$102"}</definedName>
    <definedName name="HTML_Control2" hidden="1">{"'1-TheatreBkgs'!$A$1:$L$102"}</definedName>
    <definedName name="HTML_Control3" hidden="1">{"'1-TheatreBkgs'!$A$1:$L$102"}</definedName>
    <definedName name="HTML_Description" hidden="1">""</definedName>
    <definedName name="HTML_Email" hidden="1">""</definedName>
    <definedName name="HTML_Header" hidden="1">"0 - All"</definedName>
    <definedName name="HTML_LastUpdate" hidden="1">"16/08/1999"</definedName>
    <definedName name="HTML_LineAfter" hidden="1">FALSE</definedName>
    <definedName name="HTML_LineBefore" hidden="1">FALSE</definedName>
    <definedName name="HTML_Name" hidden="1">"Simon Chassar"</definedName>
    <definedName name="HTML_OBDlg2" hidden="1">TRUE</definedName>
    <definedName name="HTML_OBDlg4" hidden="1">TRUE</definedName>
    <definedName name="HTML_OS" hidden="1">0</definedName>
    <definedName name="HTML_PathFile" hidden="1">"C:\Simon\Excel Spreads\LOB Templates\MyHTML.htm"</definedName>
    <definedName name="HTML_Title" hidden="1">"EMEA Template"</definedName>
    <definedName name="Huang" hidden="1">{#N/A,#N/A,FALSE,"²Ä1­Ó¤ë"}</definedName>
    <definedName name="hung">#REF!</definedName>
    <definedName name="I.BillingCountry">[47]BRF!$D$6</definedName>
    <definedName name="IASBALANCE">#REF!</definedName>
    <definedName name="iasbalpos">#REF!</definedName>
    <definedName name="iasbalposattr">#REF!</definedName>
    <definedName name="iascomp">#REF!</definedName>
    <definedName name="iascompattr">#REF!</definedName>
    <definedName name="IASCURRENCY">#REF!</definedName>
    <definedName name="iascurrencyattr">#REF!</definedName>
    <definedName name="IASGENERAL">#REF!</definedName>
    <definedName name="IASINPUT">#REF!</definedName>
    <definedName name="iasprioryear">#REF!</definedName>
    <definedName name="IASREPORTS">#REF!</definedName>
    <definedName name="iastaxkind">#REF!</definedName>
    <definedName name="iastopentityvalue">#REF!</definedName>
    <definedName name="iasyear">#REF!</definedName>
    <definedName name="IDNO">#REF!</definedName>
    <definedName name="iit">#REF!</definedName>
    <definedName name="IItaly">#REF!</definedName>
    <definedName name="IITType">#REF!</definedName>
    <definedName name="IMPORT_STATUS">[24]Sheet2!$A$1:$A$3</definedName>
    <definedName name="Incentive_payment_code">[18]Values!$L$2:$L$5</definedName>
    <definedName name="INHABITANT">[24]Sheet2!$Q$1:$Q$6</definedName>
    <definedName name="initout">#REF!</definedName>
    <definedName name="initrange">#REF!</definedName>
    <definedName name="INPUT">#REF!</definedName>
    <definedName name="Input_10b">#REF!</definedName>
    <definedName name="Input_10c">#REF!</definedName>
    <definedName name="Input_10d">#REF!</definedName>
    <definedName name="Input_10e">#REF!</definedName>
    <definedName name="Input_1a">#REF!</definedName>
    <definedName name="Input_1b">#REF!</definedName>
    <definedName name="Input_1c">#REF!</definedName>
    <definedName name="Input_1d">#REF!</definedName>
    <definedName name="Input_1e">#REF!</definedName>
    <definedName name="Input_2a">#REF!</definedName>
    <definedName name="Input_2b">#REF!</definedName>
    <definedName name="Input_2c">#REF!</definedName>
    <definedName name="Input_2d">#REF!</definedName>
    <definedName name="Input_2e">#REF!</definedName>
    <definedName name="Input_3a">#REF!</definedName>
    <definedName name="Input_3b">#REF!</definedName>
    <definedName name="Input_3c">#REF!</definedName>
    <definedName name="Input_3d">#REF!</definedName>
    <definedName name="Input_3e">#REF!</definedName>
    <definedName name="Input_4a">#REF!</definedName>
    <definedName name="Input_4b">#REF!</definedName>
    <definedName name="Input_4c">#REF!</definedName>
    <definedName name="Input_4d">#REF!</definedName>
    <definedName name="Input_4e">#REF!</definedName>
    <definedName name="Input_5a">#REF!</definedName>
    <definedName name="Input_5b">#REF!</definedName>
    <definedName name="Input_5c">#REF!</definedName>
    <definedName name="Input_5d">#REF!</definedName>
    <definedName name="Input_5e">#REF!</definedName>
    <definedName name="Input_6a">#REF!</definedName>
    <definedName name="Input_6b">#REF!</definedName>
    <definedName name="Input_6c">#REF!</definedName>
    <definedName name="Input_6d">#REF!</definedName>
    <definedName name="Input_6e">#REF!</definedName>
    <definedName name="Input_7a">#REF!</definedName>
    <definedName name="Input_7b">#REF!</definedName>
    <definedName name="Input_7c">#REF!</definedName>
    <definedName name="Input_7d">#REF!</definedName>
    <definedName name="Input_7e">#REF!</definedName>
    <definedName name="Input_8a">#REF!</definedName>
    <definedName name="Input_8b">#REF!</definedName>
    <definedName name="Input_8c">#REF!</definedName>
    <definedName name="Input_8d">#REF!</definedName>
    <definedName name="Input_8e">#REF!</definedName>
    <definedName name="Input_9a">#REF!</definedName>
    <definedName name="Input_9b">#REF!</definedName>
    <definedName name="Input_9c">#REF!</definedName>
    <definedName name="Input_9d">#REF!</definedName>
    <definedName name="Input_9e">#REF!</definedName>
    <definedName name="Italy">#REF!</definedName>
    <definedName name="ito">#REF!</definedName>
    <definedName name="jj" hidden="1">{"'1-TheatreBkgs'!$A$1:$L$102"}</definedName>
    <definedName name="JobTitle">#REF!</definedName>
    <definedName name="KABBASI" hidden="1">{#N/A,#N/A,FALSE,"s12 Access Fam BSP";#N/A,#N/A,FALSE,"s13 WG";#N/A,#N/A,FALSE,"s14 Azlan BSP";#N/A,#N/A,FALSE,"s15 Access Stk Rotate";#N/A,#N/A,FALSE,"s16 WG Stk Rotate";#N/A,#N/A,FALSE,"s17.Avg Days POS"}</definedName>
    <definedName name="Keta">#N/A</definedName>
    <definedName name="kg">#REF!</definedName>
    <definedName name="Kirsch">#REF!</definedName>
    <definedName name="kkkkk" hidden="1">{"'1-TheatreBkgs'!$A$1:$L$102"}</definedName>
    <definedName name="koa">#REF!</definedName>
    <definedName name="kod">#REF!</definedName>
    <definedName name="L.AssigneeType">[48]_Lists!$C$4:$C$22</definedName>
    <definedName name="L.Countries">[48]_CountryTable!$D$1:$IJ$1</definedName>
    <definedName name="L.CountryNames">[48]_Lists!$M$3:$M$244</definedName>
    <definedName name="L.Monthofservice">[48]_Lists!$J$4:$J$20</definedName>
    <definedName name="L.Months">[48]_Lists!$G$3:$G$18</definedName>
    <definedName name="L.NonBillingReasons">[48]_Lists!$H$3:$H$18</definedName>
    <definedName name="L.ServicesAll">[48]_CountryTable!$C$6:$C$42</definedName>
    <definedName name="L.ServicesAllActive">[48]_FixedFeeLists!$H$2:$H$5</definedName>
    <definedName name="las" hidden="1">{#N/A,#N/A,FALSE,"S1 Theatre Sum";#N/A,#N/A,FALSE,"S2 U.S. B.S.POS";#N/A,#N/A,FALSE,"S3 US POS";#N/A,#N/A,FALSE,"S4 Family POS";#N/A,#N/A,FALSE,"S5 Ship vs POS";#N/A,#N/A,FALSE,"S6 Top VAR"}</definedName>
    <definedName name="laura" hidden="1">{"'1-TheatreBkgs'!$A$1:$L$102"}</definedName>
    <definedName name="Leave">#REF!</definedName>
    <definedName name="LegalEntity">#REF!</definedName>
    <definedName name="Leo" hidden="1">{#N/A,#N/A,FALSE,"FREEMAN";#N/A,#N/A,FALSE,"STEPHEN";#N/A,#N/A,FALSE,"VICTOR"}</definedName>
    <definedName name="level_definition">[24]Sheet2!$M$1</definedName>
    <definedName name="lig" hidden="1">{"'1-TheatreBkgs'!$A$1:$L$102"}</definedName>
    <definedName name="lily" hidden="1">{"'1-TheatreBkgs'!$A$1:$L$102"}</definedName>
    <definedName name="list">'[49]Tax codes'!$A$2:$A$6</definedName>
    <definedName name="List1">[50]PEs!$A$1:$A$51</definedName>
    <definedName name="LIST5">'[51]Tax codes'!$A$2:$A$6</definedName>
    <definedName name="ListDivision">INDIRECT("AA1:AA"&amp;COUNTA('[52]Channel PnL'!B$1:B$65536))</definedName>
    <definedName name="listing">#REF!</definedName>
    <definedName name="Listing1">#REF!</definedName>
    <definedName name="LOB">#REF!</definedName>
    <definedName name="local">[53]taxrate!$A$1:$C$9</definedName>
    <definedName name="LOS">#REF!</definedName>
    <definedName name="Marital">#REF!</definedName>
    <definedName name="master_def">#REF!</definedName>
    <definedName name="MC">#REF!</definedName>
    <definedName name="mcategory">#REF!</definedName>
    <definedName name="Method">#REF!</definedName>
    <definedName name="Michelle" hidden="1">{#N/A,#N/A,FALSE,"S1 Theatre Sum";#N/A,#N/A,FALSE,"S2 U.S. B.S.POS";#N/A,#N/A,FALSE,"S3 US POS";#N/A,#N/A,FALSE,"S4 Family POS";#N/A,#N/A,FALSE,"S5 Ship vs POS";#N/A,#N/A,FALSE,"S6 Top VAR"}</definedName>
    <definedName name="Mike" hidden="1">{#N/A,#N/A,FALSE,"FREEMAN";#N/A,#N/A,FALSE,"STEPHEN";#N/A,#N/A,FALSE,"VICTOR"}</definedName>
    <definedName name="mm" hidden="1">{#N/A,#N/A,FALSE,"FREEMAN";#N/A,#N/A,FALSE,"STEPHEN";#N/A,#N/A,FALSE,"VICTOR"}</definedName>
    <definedName name="MPFEEVCPerc">#REF!</definedName>
    <definedName name="MPFSchemeNo">#REF!</definedName>
    <definedName name="MPFTrustee">#REF!</definedName>
    <definedName name="MR_MbrList">'[54]Medical (2)'!$A$1:$J$221</definedName>
    <definedName name="MultipleCut" hidden="1">FALSE</definedName>
    <definedName name="name" hidden="1">{#N/A,#N/A,FALSE,"FREEMAN";#N/A,#N/A,FALSE,"STEPHEN";#N/A,#N/A,FALSE,"VICTOR"}</definedName>
    <definedName name="Names">[55]Sheet1!$A$4:$A$16</definedName>
    <definedName name="Names2">[55]Sheet1!$B$2:$B$3</definedName>
    <definedName name="Names3">[55]Sheet1!$E$2:$E$5</definedName>
    <definedName name="Nationality">[18]Values!$F$2:$F$245</definedName>
    <definedName name="netincrow">#REF!</definedName>
    <definedName name="new">#REF!</definedName>
    <definedName name="NewCtry">[56]REF!$CD$2:$CD$16</definedName>
    <definedName name="newrose" hidden="1">{#N/A,#N/A,FALSE,"²Ä1­Ó¤ë"}</definedName>
    <definedName name="nhgiso" hidden="1">{"'1-TheatreBkgs'!$A$1:$L$102"}</definedName>
    <definedName name="ni" hidden="1">{#N/A,#N/A,FALSE,"FREEMAN";#N/A,#N/A,FALSE,"STEPHEN";#N/A,#N/A,FALSE,"VICTOR"}</definedName>
    <definedName name="NJTO">#REF!</definedName>
    <definedName name="Non_Gross_Up">[57]sh!$A$10:$F$18</definedName>
    <definedName name="Notes" hidden="1">{"'1-TheatreBkgs'!$A$1:$L$102"}</definedName>
    <definedName name="NoticePeriod">#REF!</definedName>
    <definedName name="NPD_A_siteNum">#REF!</definedName>
    <definedName name="NPD_AsiteNum">#REF!</definedName>
    <definedName name="NPD_siteNum">#REF!</definedName>
    <definedName name="NPD_ZsiteNum">#REF!</definedName>
    <definedName name="ok">#REF!</definedName>
    <definedName name="One">'[31]II-4.1 Personnel'!#REF!</definedName>
    <definedName name="Ongoing">#REF!</definedName>
    <definedName name="OnholdNoRecovery">#REF!</definedName>
    <definedName name="OnholdRecovery">#REF!</definedName>
    <definedName name="OrderNumber">#REF!</definedName>
    <definedName name="OrderNumber_orig">#REF!</definedName>
    <definedName name="origincurr">#REF!</definedName>
    <definedName name="Other_Expneses">[58]Report!#REF!</definedName>
    <definedName name="Other_Income">[58]Report!#REF!</definedName>
    <definedName name="Output4">'[59]Accenture Output Sheet'!#REF!</definedName>
    <definedName name="overpayment">[2]rental!#REF!</definedName>
    <definedName name="p_1">[27]Sheet1!$B$4:$B$12</definedName>
    <definedName name="P_2">[27]Sheet1!$G$4:$G$19</definedName>
    <definedName name="page">#REF!</definedName>
    <definedName name="PAGE1">#REF!</definedName>
    <definedName name="PAGE2">#REF!</definedName>
    <definedName name="PAGE3">#REF!</definedName>
    <definedName name="PAI">[27]Sheet1!$G$3:$J$19</definedName>
    <definedName name="pal.stuff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RTY">[24]Sheet2!$P$1</definedName>
    <definedName name="PayBasis">#REF!</definedName>
    <definedName name="Payment">#REF!</definedName>
    <definedName name="PayrollGroup">#REF!</definedName>
    <definedName name="PendingNoRecovery">#REF!</definedName>
    <definedName name="PendingRecovery">#REF!</definedName>
    <definedName name="PG_Class5">#REF!</definedName>
    <definedName name="picture">#REF!</definedName>
    <definedName name="PILIndicator">#REF!</definedName>
    <definedName name="PivotTable1">'[60]Com 2'!$A$4:$L$13</definedName>
    <definedName name="PivotTable2">'[60]Com 2'!$A$18:$L$27</definedName>
    <definedName name="PivotTable3">'[60]Com 2'!$A$32:$L$41</definedName>
    <definedName name="pk">#REF!</definedName>
    <definedName name="please">#REF!</definedName>
    <definedName name="pls">[61]PLS!$B$3:$B$78</definedName>
    <definedName name="PopCache_GL_INTERFACE_REFERENCE7">[62]PopCache_Sheet1!$A$1:$A$2</definedName>
    <definedName name="position">[26]Sheet2!$B$1:$B$5</definedName>
    <definedName name="Position_Class">[63]Coding!$C$56:$C$101</definedName>
    <definedName name="PPM_1">[27]Sheet1!$B$3:$E$12</definedName>
    <definedName name="PPM_2">[27]Sheet1!#REF!</definedName>
    <definedName name="ppm_PA">[64]Sheet4!$A$2:$D$11</definedName>
    <definedName name="Preparer">#REF!</definedName>
    <definedName name="Preparer_Num">#REF!</definedName>
    <definedName name="_xlnm.Print_Area">#REF!</definedName>
    <definedName name="Print_Area_MI">#REF!</definedName>
    <definedName name="priorin">#REF!</definedName>
    <definedName name="priorin1">#REF!</definedName>
    <definedName name="priorout1">#REF!</definedName>
    <definedName name="priorout2">#REF!</definedName>
    <definedName name="ProbPeriod">#REF!</definedName>
    <definedName name="profitstart">'[22]consinfo (10)'!#REF!</definedName>
    <definedName name="PRREASON">'[65]Reason list for Payment request'!$A$2:$A$6</definedName>
    <definedName name="ptn">#REF!</definedName>
    <definedName name="q" hidden="1">{"'1-TheatreBkgs'!$A$1:$L$102"}</definedName>
    <definedName name="qarere" hidden="1">{"'1-TheatreBkgs'!$A$1:$L$102"}</definedName>
    <definedName name="qdqwdqwdasddw">#REF!</definedName>
    <definedName name="qff" hidden="1">{"'1-TheatreBkgs'!$A$1:$L$102"}</definedName>
    <definedName name="Qian" hidden="1">{#N/A,#N/A,FALSE,"第1個月"}</definedName>
    <definedName name="qqq">#REF!</definedName>
    <definedName name="qw">#REF!</definedName>
    <definedName name="qwert">#REF!</definedName>
    <definedName name="qwertyuiop">#REF!</definedName>
    <definedName name="r_curr">#REF!</definedName>
    <definedName name="r_prioryear">[22]datasource_lookup!$B$10</definedName>
    <definedName name="r_repyear">[22]datasource_lookup!$B$9</definedName>
    <definedName name="r_server">#REF!</definedName>
    <definedName name="r_taxrate_te">#REF!</definedName>
    <definedName name="range">#REF!</definedName>
    <definedName name="range2">#REF!</definedName>
    <definedName name="RATE">[53]taxrate!$E$1:$G$9</definedName>
    <definedName name="rate4">[66]taxrate!$E$1:$G$9</definedName>
    <definedName name="RawData">#REF!</definedName>
    <definedName name="Reason">'[65]Reason list For Cost'!#REF!</definedName>
    <definedName name="REASONCOST">'[65]Reason list For Cost'!$A$1:$A$10</definedName>
    <definedName name="reasons">'[28]Auth List Glossary'!$M$2:$M$24</definedName>
    <definedName name="Record1">[67]!Record1</definedName>
    <definedName name="Ref" hidden="1">{#N/A,#N/A,FALSE,"S1 Theatre Sum";#N/A,#N/A,FALSE,"S2 U.S. B.S.POS";#N/A,#N/A,FALSE,"S3 US POS";#N/A,#N/A,FALSE,"S4 Family POS";#N/A,#N/A,FALSE,"S5 Ship vs POS";#N/A,#N/A,FALSE,"S6 Top VAR"}</definedName>
    <definedName name="rename" hidden="1">{"'1-TheatreBkgs'!$A$1:$L$102"}</definedName>
    <definedName name="reportcurr">#REF!</definedName>
    <definedName name="req">'[28]Auth List Glossary'!$K$2:$K$6</definedName>
    <definedName name="Resource_Table">#REF!</definedName>
    <definedName name="Resource_table_new">#REF!</definedName>
    <definedName name="Result">#REF!</definedName>
    <definedName name="result1">#REF!</definedName>
    <definedName name="result2">#REF!</definedName>
    <definedName name="Results">#REF!</definedName>
    <definedName name="retireclass">[24]Sheet2!$C$1:$C$3</definedName>
    <definedName name="RetirementType">#REF!</definedName>
    <definedName name="RevCrit">[44]V_IS!$C$20</definedName>
    <definedName name="rhl">#N/A</definedName>
    <definedName name="rngBASFMappign_Spain_swiss">OFFSET('[68]Config Local'!$A$62,1,1,1,COUNTA('[68]Config Local'!$62:$62)-1)</definedName>
    <definedName name="rngBASFMappignHeaders_spain_swiss">OFFSET('[68]Config Local'!$A$62,0,1,1,COUNTA('[68]Config Local'!$62:$62)-1)</definedName>
    <definedName name="rngBasfOutputFormula_spain_swiss">OFFSET('[68]Config Local'!$B$58,1,0,1,COUNTA('[68]Config Local'!$58:$58)-1)</definedName>
    <definedName name="rngBasfOutputHeaders_spain_swiss">OFFSET('[68]Config Local'!$B$58,0,0,1,COUNTA('[68]Config Local'!$58:$58)-1)</definedName>
    <definedName name="rngBasfSEFormulas">OFFSET('[68]Config Local'!$A$22,1,0,1,COUNTA('[68]Config Local'!$A1:$Q1))</definedName>
    <definedName name="rngBasfSEHeaders">OFFSET('[68]Config Local'!$A$22,0,0,1,COUNTA('[68]Config Local'!$A$22:$Q$22))</definedName>
    <definedName name="rngBASFSEMappignFormula">OFFSET('[68]Config Local'!$A$34,0,1,1,COUNTA('[68]Config Local'!$34:$34)-1)</definedName>
    <definedName name="rngBASFSEMappignHeaders">OFFSET('[68]Config Local'!$A$33,0,1,1,COUNTA('[68]Config Local'!$33:$33)-1)</definedName>
    <definedName name="rngBasfSEOutputFormulas">OFFSET('[68]Config Local'!$A$29,1,1,1,COUNTA('[68]Config Local'!$29:$29)-1)</definedName>
    <definedName name="rngBasfSEOutputHeaders">OFFSET('[68]Config Local'!$A$29,0,1,1,COUNTA('[68]Config Local'!$29:$29)-1)</definedName>
    <definedName name="rngCanLocalformula">OFFSET('[68]Config Local'!$A$49,1,1,1,COUNTA('[68]Config Local'!$49:$49)-1)</definedName>
    <definedName name="rngCanlocalHeader">OFFSET('[68]Config Local'!$A$49,0,0,1,COUNTA('[68]Config Local'!$49:$49))</definedName>
    <definedName name="rngCountry_Currency">OFFSET([68]Configuration!$L$23,1,0,COUNTA([68]Configuration!$L$23:$L$1048576)-1,2)</definedName>
    <definedName name="rngCountryduration">OFFSET([68]Configuration!$AQ$23,1,0,COUNTA([68]Configuration!$AQ$23:$AQ$1048576)-1,4)</definedName>
    <definedName name="rngDateLocal">'[68]Config Local'!$A$38</definedName>
    <definedName name="rngDateLocal_old">'[68]Config Local'!$A$38</definedName>
    <definedName name="rngEntityCodes">OFFSET([68]Configuration!$Z$23,1,0,COUNTA([68]Configuration!$Z$23:$Z$1048576)-1,3)</definedName>
    <definedName name="rngEntityCodes2">OFFSET([68]Configuration!$AA$23,1,0,COUNTA([68]Configuration!$AA$23:$AA$1048576)-1,2)</definedName>
    <definedName name="rngEntityList">OFFSET([69]Mapping!$A:$B,MATCH('[69]To be completed'!$H1,[69]Mapping!$A:$A,0)-1,1,COUNTIF([69]Mapping!$A:$A,'[69]To be completed'!$H1),1)</definedName>
    <definedName name="rngExecNonExec">'[68]Config Local'!$A$46</definedName>
    <definedName name="rngExecNonExec_old">'[68]Config Local'!$A$46</definedName>
    <definedName name="rngFX_rate1">OFFSET([68]Configuration!$A$23,1,1,COUNTA([68]Configuration!$A$23:$A$1048576)-1,6)</definedName>
    <definedName name="rngFx_rate2">OFFSET([68]Configuration!$R$23,1,0,COUNTA([68]Configuration!$R$23:$R$1048576)-1,3)</definedName>
    <definedName name="rngFx_rate3">OFFSET([68]Configuration!$AY$23,0,1,COUNTA([68]Configuration!$AY$23:$AY$1048576),13)</definedName>
    <definedName name="rngGlobalCodeBSAFESSC">'[68]BASf ESSC Mapping'!$A:$E</definedName>
    <definedName name="rngGlobalCodeBSAFESSC_Spain">'[68]Mapping spain'!$A:$H</definedName>
    <definedName name="rngGlobalPayCode">OFFSET('[68]Mappings Local'!$A$2,1,0,COUNTA('[68]Mappings Local'!$A:$A)-2,5)</definedName>
    <definedName name="rngJapanMapping">OFFSET([68]Configuration!$CF$23,1,0,COUNTA([68]Configuration!$CF$23:$CF$1048576)-1,1)</definedName>
    <definedName name="rngMergedEntity">OFFSET([68]Configuration!$AI$23,1,0,COUNTA([68]Configuration!$AI$23:$AI$1048576)-1,2)</definedName>
    <definedName name="rngPay_group">OFFSET([68]Configuration!$O$23,1,0,COUNTA([68]Configuration!$O$23:$O$1048576)-1,2)</definedName>
    <definedName name="rngPay_group_old">OFFSET([68]Configuration!$O$23,1,0,COUNTA([68]Configuration!$O$23:$O$1048576)-1,2)</definedName>
    <definedName name="rngpaygroupCountry">'[68]Paygroup vs country mapp'!$B:$E</definedName>
    <definedName name="rngPIheaders">OFFSET('[68]Output report Header mapping'!$A$1,0,1,1,COUNTA('[68]Output report Header mapping'!$1:$1)-1)</definedName>
    <definedName name="rngPIoutputFormat">OFFSET('[68]Output report Header mapping'!$A$13,1,4,COUNTA('[68]Output report Header mapping'!$A:$A)-COUNTA('[68]Output report Header mapping'!$A1048553:$A1048565),1)</definedName>
    <definedName name="rngPIoutputHome">OFFSET('[68]Output report Header mapping'!$A$13,1,2,COUNTA('[68]Output report Header mapping'!$A:$A)-COUNTA('[68]Output report Header mapping'!$A1048553:$A1048565),1)</definedName>
    <definedName name="rngPIoutputHost">OFFSET('[68]Output report Header mapping'!$A$13,1,3,COUNTA('[68]Output report Header mapping'!$A:$A)-COUNTA('[68]Output report Header mapping'!$A1048553:$A1048565),1)</definedName>
    <definedName name="rngSource_Country">OFFSET([68]Configuration!$AD$23,1,0,COUNTA([68]Configuration!$AD$23:$AD$1048576)-1,4)</definedName>
    <definedName name="rngSources_Fxrates">OFFSET([68]Configuration!$I$23,1,0,COUNTA([68]Configuration!$I$23:$I$1048576)-1,2)</definedName>
    <definedName name="rngSwissLocalformula">OFFSET('[68]Config Local'!$A$42,1,1,1,COUNTA('[68]Config Local'!$42:$42)-1)</definedName>
    <definedName name="rngSwisslocalHeader">OFFSET('[68]Config Local'!$A$42,0,0,1,COUNTA('[68]Config Local'!$42:$42))</definedName>
    <definedName name="rngUKSapPayroll">OFFSET([68]Configuration!$AL$23,1,0,COUNTA([68]Configuration!$AL$23:$AL$1048576)-1,2)</definedName>
    <definedName name="rngUSLocalformula">OFFSET('[68]Config Local'!$A$8,1,1,1,COUNTA('[68]Config Local'!$8:$8)-1)</definedName>
    <definedName name="rngUSlocalHeader">OFFSET('[68]Config Local'!$A$8,0,0,1,COUNTA('[68]Config Local'!$8:$8))</definedName>
    <definedName name="Row_Of_Month">#REF!</definedName>
    <definedName name="rr">#REF!</definedName>
    <definedName name="s" hidden="1">{"'1-TheatreBkgs'!$A$1:$L$102"}</definedName>
    <definedName name="salary">#REF!</definedName>
    <definedName name="SalesTax">[47]BRF!$D$8</definedName>
    <definedName name="SAPBEXhrIndnt" hidden="1">1</definedName>
    <definedName name="SAPBEXrevision" hidden="1">4</definedName>
    <definedName name="SAPBEXsysID" hidden="1">"D23"</definedName>
    <definedName name="SAPBEXwbID" hidden="1">"3R7JNOY966SLD7C00P0UGUKA7"</definedName>
    <definedName name="SBUs">#REF!</definedName>
    <definedName name="Scott" hidden="1">{#N/A,#N/A,FALSE,"FREEMAN";#N/A,#N/A,FALSE,"STEPHEN";#N/A,#N/A,FALSE,"VICTOR"}</definedName>
    <definedName name="sdawwq">#REF!</definedName>
    <definedName name="sdfa">#REF!</definedName>
    <definedName name="sds">#REF!</definedName>
    <definedName name="sdsaw">#REF!</definedName>
    <definedName name="sector">'[70]sector table'!$A$1:$A$25</definedName>
    <definedName name="Severance">[23]Ref!$AP$5:$AP$6</definedName>
    <definedName name="sex" hidden="1">{"'1-TheatreBkgs'!$A$1:$L$102"}</definedName>
    <definedName name="SHEET">#REF!</definedName>
    <definedName name="shen">#REF!</definedName>
    <definedName name="shzh">#REF!</definedName>
    <definedName name="SHZHTO">#REF!</definedName>
    <definedName name="Signer">#REF!</definedName>
    <definedName name="Signer_Num">#REF!</definedName>
    <definedName name="Sort" hidden="1">[71]Intercopany1999.8!#REF!</definedName>
    <definedName name="sortcol">#REF!</definedName>
    <definedName name="SPI_AccName">[17]Feb!#REF!</definedName>
    <definedName name="SPI_FullAccNo">[17]Feb!#REF!</definedName>
    <definedName name="SPI_ID">[17]Feb!#REF!</definedName>
    <definedName name="SPI_Ref">[17]Feb!#REF!</definedName>
    <definedName name="ss" hidden="1">{#N/A,#N/A,FALSE,"FREEMAN";#N/A,#N/A,FALSE,"STEPHEN";#N/A,#N/A,FALSE,"VICTOR"}</definedName>
    <definedName name="ssd">#REF!</definedName>
    <definedName name="sss" hidden="1">{"'1-TheatreBkgs'!$A$1:$L$102"}</definedName>
    <definedName name="sssa">#REF!</definedName>
    <definedName name="Start_BI">#REF!</definedName>
    <definedName name="Start_Column">#REF!</definedName>
    <definedName name="Start_Row">#REF!</definedName>
    <definedName name="Start_Row_All">#REF!</definedName>
    <definedName name="State">#REF!</definedName>
    <definedName name="State_Abbr">#REF!</definedName>
    <definedName name="Status">#REF!</definedName>
    <definedName name="stupid" hidden="1">{#N/A,#N/A,FALSE,"S1 Theatre Sum";#N/A,#N/A,FALSE,"S2 U.S. B.S.POS";#N/A,#N/A,FALSE,"S3 US POS";#N/A,#N/A,FALSE,"S4 Family POS";#N/A,#N/A,FALSE,"S5 Ship vs POS";#N/A,#N/A,FALSE,"S6 Top VAR"}</definedName>
    <definedName name="stupid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" hidden="1">{#N/A,#N/A,FALSE,"S1 Theatre Sum";#N/A,#N/A,FALSE,"S2 U.S. B.S.POS";#N/A,#N/A,FALSE,"S3 US POS";#N/A,#N/A,FALSE,"S4 Family POS";#N/A,#N/A,FALSE,"S5 Ship vs POS";#N/A,#N/A,FALSE,"S6 Top VAR"}</definedName>
    <definedName name="stupidwho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ubtypes">[72]Subtype!$A$1:$A$12</definedName>
    <definedName name="Summary">#REF!</definedName>
    <definedName name="summary1">#REF!</definedName>
    <definedName name="supervisor">[24]Sheet2!$K$1:$K$11</definedName>
    <definedName name="sz">#REF!</definedName>
    <definedName name="szto">#REF!</definedName>
    <definedName name="t" hidden="1">{"'1-TheatreBkgs'!$A$1:$L$102"}</definedName>
    <definedName name="T.AllCountries">[48]_CountryTable!$A$1:$IJ$81</definedName>
    <definedName name="Table1">#REF!</definedName>
    <definedName name="Table2">#REF!</definedName>
    <definedName name="Table3">#REF!</definedName>
    <definedName name="Task_Table">#REF!</definedName>
    <definedName name="TAX">#REF!</definedName>
    <definedName name="Tax_Rate">'[73]Tax Rate Table'!$E$10:$F$18</definedName>
    <definedName name="Tax_Rate_Table">'[60]Tax Rate Table'!$A$2:$G$18</definedName>
    <definedName name="TAXQR">#REF!</definedName>
    <definedName name="TermRe">#REF!</definedName>
    <definedName name="TermReason">#REF!</definedName>
    <definedName name="test">#REF!</definedName>
    <definedName name="TEST0">[2]rental!#REF!</definedName>
    <definedName name="TEST1">#REF!</definedName>
    <definedName name="TEST10">#REF!</definedName>
    <definedName name="TEST11">#REF!</definedName>
    <definedName name="TEST111" hidden="1">{#N/A,#N/A,FALSE,"S1 Theatre Sum";#N/A,#N/A,FALSE,"S2 U.S. B.S.POS";#N/A,#N/A,FALSE,"S3 US POS";#N/A,#N/A,FALSE,"S4 Family POS";#N/A,#N/A,FALSE,"S5 Ship vs POS";#N/A,#N/A,FALSE,"S6 Top VAR"}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00" hidden="1">{"'1-TheatreBkgs'!$A$1:$L$102"}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3">#REF!</definedName>
    <definedName name="TEST4">#REF!</definedName>
    <definedName name="test44" hidden="1">{#N/A,#N/A,FALSE,"S1 Theatre Sum";#N/A,#N/A,FALSE,"S2 U.S. B.S.POS";#N/A,#N/A,FALSE,"S3 US POS";#N/A,#N/A,FALSE,"S4 Family POS";#N/A,#N/A,FALSE,"S5 Ship vs POS";#N/A,#N/A,FALSE,"S6 Top VAR"}</definedName>
    <definedName name="test45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99" hidden="1">{#N/A,#N/A,FALSE,"S1 Theatre Sum";#N/A,#N/A,FALSE,"S2 U.S. B.S.POS";#N/A,#N/A,FALSE,"S3 US POS";#N/A,#N/A,FALSE,"S4 Family POS";#N/A,#N/A,FALSE,"S5 Ship vs POS";#N/A,#N/A,FALSE,"S6 Top VAR"}</definedName>
    <definedName name="TESTHKEY">#REF!</definedName>
    <definedName name="testing" hidden="1">{#N/A,#N/A,FALSE,"S1 Theatre Sum";#N/A,#N/A,FALSE,"S2 U.S. B.S.POS";#N/A,#N/A,FALSE,"S3 US POS";#N/A,#N/A,FALSE,"S4 Family POS";#N/A,#N/A,FALSE,"S5 Ship vs POS";#N/A,#N/A,FALSE,"S6 Top VAR"}</definedName>
    <definedName name="TESTKEYS">#REF!</definedName>
    <definedName name="testtest">#REF!</definedName>
    <definedName name="TESTVKEY">#REF!</definedName>
    <definedName name="Thomas" hidden="1">{#N/A,#N/A,FALSE,"FREEMAN";#N/A,#N/A,FALSE,"STEPHEN";#N/A,#N/A,FALSE,"VICTOR"}</definedName>
    <definedName name="THREE">#REF!</definedName>
    <definedName name="TimeBasis">#REF!</definedName>
    <definedName name="tLookupTable">#REF!</definedName>
    <definedName name="tot">#REF!</definedName>
    <definedName name="toyoda" hidden="1">{#N/A,#N/A,FALSE,"²Ä1­Ó¤ë"}</definedName>
    <definedName name="trade">#REF!</definedName>
    <definedName name="transferabstart">#REF!</definedName>
    <definedName name="trr" hidden="1">{"'1-TheatreBkgs'!$A$1:$L$102"}</definedName>
    <definedName name="TRS_Codes_shortlist">OFFSET([63]Coding!$AG$1,1,0,COUNTA([63]Coding!$AG:$AG)-1,1)</definedName>
    <definedName name="TRYYIUYI">#REF!</definedName>
    <definedName name="tt" hidden="1">#REF!</definedName>
    <definedName name="ttr">#REF!</definedName>
    <definedName name="ttt" hidden="1">{"'1-TheatreBkgs'!$A$1:$L$102"}</definedName>
    <definedName name="Tureky">#REF!</definedName>
    <definedName name="Turkey">#REF!</definedName>
    <definedName name="Turkey1">#REF!</definedName>
    <definedName name="Turkeyupdate">#REF!</definedName>
    <definedName name="TWO">[74]wages!#REF!</definedName>
    <definedName name="ty">#REF!</definedName>
    <definedName name="Type">#REF!</definedName>
    <definedName name="UFPrn20051122095929">#REF!</definedName>
    <definedName name="unnamed_FilterIn_Database_1">'[75]AU comp1'!#REF!</definedName>
    <definedName name="USD">[46]Rate!$B$5</definedName>
    <definedName name="v" hidden="1">{"'1-TheatreBkgs'!$A$1:$L$102"}</definedName>
    <definedName name="ValidRecovery">#REF!</definedName>
    <definedName name="ValidStatus">#REF!</definedName>
    <definedName name="ValueDate">[17]Feb!#REF!</definedName>
    <definedName name="Version">[76]Tables!$B$4</definedName>
    <definedName name="VersionDate">#REF!</definedName>
    <definedName name="w" hidden="1">{"'1-TheatreBkgs'!$A$1:$L$102"}</definedName>
    <definedName name="wagetype">#REF!</definedName>
    <definedName name="wdd">#REF!</definedName>
    <definedName name="we" hidden="1">[6]sal!#REF!</definedName>
    <definedName name="wednf" hidden="1">{#N/A,#N/A,FALSE,"FREEMAN";#N/A,#N/A,FALSE,"STEPHEN";#N/A,#N/A,FALSE,"VICTOR"}</definedName>
    <definedName name="WeekStart">#REF!</definedName>
    <definedName name="WeekStartNum">#REF!</definedName>
    <definedName name="wenshu" hidden="1">{#N/A,#N/A,FALSE,"YTCHAN";#N/A,#N/A,FALSE,"TOMMY";#N/A,#N/A,FALSE,"REP.OFFICE";#N/A,#N/A,FALSE,"E&amp;Y_CONSULTANT";#N/A,#N/A,FALSE,"BT &amp; CIT"}</definedName>
    <definedName name="without">#REF!</definedName>
    <definedName name="without2">#REF!</definedName>
    <definedName name="Work_type">[18]Values!$J$2:$J$3</definedName>
    <definedName name="WorkingTable1">'[60]Com 1'!$A$2:$O$32</definedName>
    <definedName name="WorkingTable2">'[60]Com 1'!$A$35:$O$65</definedName>
    <definedName name="WorkingTable3">'[60]Com 1'!$A$68:$O$98</definedName>
    <definedName name="WorkType">[77]Request!$X$4:$X$11</definedName>
    <definedName name="wrn" hidden="1">{#N/A,#N/A,FALSE,"FREEMAN";#N/A,#N/A,FALSE,"STEPHEN";#N/A,#N/A,FALSE,"VICTOR"}</definedName>
    <definedName name="wrn.Aging._.and._.Trend._.Analysis." hidden="1">{#N/A,#N/A,FALSE,"Aging Summary";#N/A,#N/A,FALSE,"Ratio Analysis";#N/A,#N/A,FALSE,"Test 120 Day Accts";#N/A,#N/A,FALSE,"Tickmarks"}</definedName>
    <definedName name="wrn.ERNST." hidden="1">{#N/A,#N/A,FALSE,"YTCHAN";#N/A,#N/A,FALSE,"TOMMY";#N/A,#N/A,FALSE,"REP.OFFICE";#N/A,#N/A,FALSE,"E&amp;Y_CONSULTANT";#N/A,#N/A,FALSE,"BT &amp; CIT"}</definedName>
    <definedName name="wrn.Mfg._.Present.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Planning.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Slides._.Part1.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2." hidden="1">{#N/A,#N/A,FALSE,"s12 Access Fam BSP";#N/A,#N/A,FALSE,"s13 WG";#N/A,#N/A,FALSE,"s14 Azlan BSP";#N/A,#N/A,FALSE,"s15 Access Stk Rotate";#N/A,#N/A,FALSE,"s16 WG Stk Rotate";#N/A,#N/A,FALSE,"s17.Avg Days POS"}</definedName>
    <definedName name="wrn.sunmicro." hidden="1">{#N/A,#N/A,FALSE,"FREEMAN";#N/A,#N/A,FALSE,"STEPHEN";#N/A,#N/A,FALSE,"VICTOR"}</definedName>
    <definedName name="wrn.第1個月1至20人." hidden="1">{#N/A,#N/A,FALSE,"第1個月"}</definedName>
    <definedName name="ww" hidden="1">{#N/A,#N/A,FALSE,"FREEMAN";#N/A,#N/A,FALSE,"STEPHEN";#N/A,#N/A,FALSE,"VICTOR"}</definedName>
    <definedName name="wwdd">#REF!</definedName>
    <definedName name="www">#REF!</definedName>
    <definedName name="WWWWW" hidden="1">{"'1-TheatreBkgs'!$A$1:$L$102"}</definedName>
    <definedName name="X">#REF!</definedName>
    <definedName name="XCV">#REF!</definedName>
    <definedName name="xxxxx">#N/A</definedName>
    <definedName name="xyz" hidden="1">{"'1-TheatreBkgs'!$A$1:$L$102"}</definedName>
    <definedName name="y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YEARMONTH">[78]Ref!$N$1:$N$102</definedName>
    <definedName name="yy">#REF!</definedName>
    <definedName name="yyyyy">#N/A</definedName>
    <definedName name="yyyyy_1">#N/A</definedName>
    <definedName name="Zelda">#REF!</definedName>
    <definedName name="zezere" hidden="1">{"'1-TheatreBkgs'!$A$1:$L$102"}</definedName>
    <definedName name="ｚｚｚ">#N/A</definedName>
    <definedName name="あ">#N/A</definedName>
    <definedName name="あああ" hidden="1">#REF!</definedName>
    <definedName name="い">#N/A</definedName>
    <definedName name="いいい" hidden="1">#REF!</definedName>
    <definedName name="う">#N/A</definedName>
    <definedName name="ううう">#N/A</definedName>
    <definedName name="シート選択見だし">"ラベル 5"</definedName>
    <definedName name="ｼｽﾃﾑ使用可能ｽﾃｰﾀｽﾁｪｯｸ処理">#N/A</definedName>
    <definedName name="国籍地区">[79]填表说明!$C$7:$C$247</definedName>
    <definedName name="减免项目">[80]Sheet3!$A$1:$A$23</definedName>
    <definedName name="琦" hidden="1">{#N/A,#N/A,FALSE,"FREEMAN";#N/A,#N/A,FALSE,"STEPHEN";#N/A,#N/A,FALSE,"VICTOR"}</definedName>
    <definedName name="涉税事由">[81]填表说明!$A$39:$A$43</definedName>
    <definedName name="身份证件类型">#REF!</definedName>
    <definedName name="身份证照类型">[82]代码表!$B$26:$B$37</definedName>
    <definedName name="税率">#REF!</definedName>
    <definedName name="所得项目">[82]代码表!$B$2:$B$23</definedName>
    <definedName name="证件类型">[80]Sheet3!$B$1:$B$7</definedName>
    <definedName name="证照类型">[79]填表说明!$E$6:$I$6</definedName>
  </definedNames>
  <calcPr calcId="162913"/>
  <pivotCaches>
    <pivotCache cacheId="0" r:id="rId8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3" i="119" l="1"/>
  <c r="DJ132" i="119"/>
  <c r="DK132" i="119" s="1"/>
  <c r="DH132" i="119"/>
  <c r="DG132" i="119"/>
  <c r="DE132" i="119"/>
  <c r="DD132" i="119"/>
  <c r="DA132" i="119"/>
  <c r="DB132" i="119" s="1"/>
  <c r="CY132" i="119"/>
  <c r="CX132" i="119"/>
  <c r="CV132" i="119"/>
  <c r="CU132" i="119"/>
  <c r="CB132" i="119"/>
  <c r="CC132" i="119" s="1"/>
  <c r="BZ132" i="119"/>
  <c r="BY132" i="119"/>
  <c r="BM132" i="119"/>
  <c r="BL132" i="119"/>
  <c r="BE132" i="119"/>
  <c r="BD132" i="119"/>
  <c r="BC132" i="119"/>
  <c r="BB132" i="119"/>
  <c r="BF132" i="119" s="1"/>
  <c r="BG132" i="119" s="1"/>
  <c r="AS132" i="119"/>
  <c r="AT132" i="119" s="1"/>
  <c r="AP132" i="119"/>
  <c r="AQ132" i="119" s="1"/>
  <c r="AG132" i="119"/>
  <c r="AF132" i="119"/>
  <c r="AC132" i="119"/>
  <c r="AD132" i="119" s="1"/>
  <c r="W132" i="119"/>
  <c r="X132" i="119" s="1"/>
  <c r="U132" i="119"/>
  <c r="T132" i="119"/>
  <c r="Q132" i="119"/>
  <c r="R132" i="119" s="1"/>
  <c r="N132" i="119"/>
  <c r="O132" i="119" s="1"/>
  <c r="I132" i="119"/>
  <c r="H132" i="119"/>
  <c r="E132" i="119"/>
  <c r="DJ131" i="119"/>
  <c r="DK131" i="119" s="1"/>
  <c r="DG131" i="119"/>
  <c r="DH131" i="119" s="1"/>
  <c r="DD131" i="119"/>
  <c r="DA131" i="119"/>
  <c r="DB131" i="119" s="1"/>
  <c r="CX131" i="119"/>
  <c r="CU131" i="119"/>
  <c r="CV131" i="119" s="1"/>
  <c r="CK131" i="119"/>
  <c r="CB131" i="119"/>
  <c r="CC131" i="119" s="1"/>
  <c r="BY131" i="119"/>
  <c r="BZ131" i="119" s="1"/>
  <c r="BM131" i="119"/>
  <c r="BL131" i="119"/>
  <c r="BE131" i="119"/>
  <c r="BD131" i="119"/>
  <c r="BC131" i="119"/>
  <c r="BB131" i="119"/>
  <c r="AS131" i="119"/>
  <c r="AT131" i="119" s="1"/>
  <c r="AP131" i="119"/>
  <c r="AQ131" i="119" s="1"/>
  <c r="AG131" i="119"/>
  <c r="AF131" i="119"/>
  <c r="AC131" i="119"/>
  <c r="AD131" i="119" s="1"/>
  <c r="W131" i="119"/>
  <c r="X131" i="119" s="1"/>
  <c r="U131" i="119"/>
  <c r="T131" i="119"/>
  <c r="Q131" i="119"/>
  <c r="R131" i="119" s="1"/>
  <c r="N131" i="119"/>
  <c r="O131" i="119" s="1"/>
  <c r="J131" i="119"/>
  <c r="I131" i="119"/>
  <c r="H131" i="119"/>
  <c r="E131" i="119"/>
  <c r="DJ130" i="119"/>
  <c r="DK130" i="119" s="1"/>
  <c r="DH130" i="119"/>
  <c r="DG130" i="119"/>
  <c r="DD130" i="119"/>
  <c r="DE130" i="119" s="1"/>
  <c r="DA130" i="119"/>
  <c r="DB130" i="119" s="1"/>
  <c r="CY130" i="119"/>
  <c r="CX130" i="119"/>
  <c r="CU130" i="119"/>
  <c r="CV130" i="119" s="1"/>
  <c r="CB130" i="119"/>
  <c r="CC130" i="119" s="1"/>
  <c r="BZ130" i="119"/>
  <c r="BY130" i="119"/>
  <c r="BL130" i="119"/>
  <c r="BM130" i="119" s="1"/>
  <c r="BE130" i="119"/>
  <c r="BD130" i="119"/>
  <c r="BF130" i="119" s="1"/>
  <c r="BG130" i="119" s="1"/>
  <c r="BC130" i="119"/>
  <c r="BB130" i="119"/>
  <c r="AS130" i="119"/>
  <c r="AT130" i="119" s="1"/>
  <c r="AQ130" i="119"/>
  <c r="AP130" i="119"/>
  <c r="AF130" i="119"/>
  <c r="AG130" i="119" s="1"/>
  <c r="AC130" i="119"/>
  <c r="AD130" i="119" s="1"/>
  <c r="X130" i="119"/>
  <c r="W130" i="119"/>
  <c r="T130" i="119"/>
  <c r="U130" i="119" s="1"/>
  <c r="Q130" i="119"/>
  <c r="R130" i="119" s="1"/>
  <c r="O130" i="119"/>
  <c r="N130" i="119"/>
  <c r="I130" i="119"/>
  <c r="J130" i="119" s="1"/>
  <c r="H130" i="119"/>
  <c r="E130" i="119"/>
  <c r="DK129" i="119"/>
  <c r="DJ129" i="119"/>
  <c r="DG129" i="119"/>
  <c r="DH129" i="119" s="1"/>
  <c r="DD129" i="119"/>
  <c r="DE129" i="119" s="1"/>
  <c r="DB129" i="119"/>
  <c r="DA129" i="119"/>
  <c r="CX129" i="119"/>
  <c r="CY129" i="119" s="1"/>
  <c r="CU129" i="119"/>
  <c r="CV129" i="119" s="1"/>
  <c r="CC129" i="119"/>
  <c r="CB129" i="119"/>
  <c r="BY129" i="119"/>
  <c r="BZ129" i="119" s="1"/>
  <c r="BL129" i="119"/>
  <c r="BM129" i="119" s="1"/>
  <c r="BG129" i="119"/>
  <c r="BF129" i="119"/>
  <c r="BE129" i="119"/>
  <c r="BD129" i="119"/>
  <c r="BC129" i="119"/>
  <c r="BB129" i="119"/>
  <c r="AT129" i="119"/>
  <c r="AS129" i="119"/>
  <c r="AP129" i="119"/>
  <c r="AQ129" i="119" s="1"/>
  <c r="AF129" i="119"/>
  <c r="AG129" i="119" s="1"/>
  <c r="AD129" i="119"/>
  <c r="AC129" i="119"/>
  <c r="W129" i="119"/>
  <c r="X129" i="119" s="1"/>
  <c r="T129" i="119"/>
  <c r="U129" i="119" s="1"/>
  <c r="R129" i="119"/>
  <c r="Q129" i="119"/>
  <c r="N129" i="119"/>
  <c r="O129" i="119" s="1"/>
  <c r="I129" i="119"/>
  <c r="J129" i="119" s="1"/>
  <c r="H129" i="119"/>
  <c r="E129" i="119"/>
  <c r="DJ128" i="119"/>
  <c r="DK128" i="119" s="1"/>
  <c r="DG128" i="119"/>
  <c r="DH128" i="119" s="1"/>
  <c r="DE128" i="119"/>
  <c r="DD128" i="119"/>
  <c r="DA128" i="119"/>
  <c r="DB128" i="119" s="1"/>
  <c r="CX128" i="119"/>
  <c r="CY128" i="119" s="1"/>
  <c r="CV128" i="119"/>
  <c r="CU128" i="119"/>
  <c r="CB128" i="119"/>
  <c r="CC128" i="119" s="1"/>
  <c r="BY128" i="119"/>
  <c r="BZ128" i="119" s="1"/>
  <c r="BW128" i="119"/>
  <c r="BM128" i="119"/>
  <c r="BL128" i="119"/>
  <c r="BE128" i="119"/>
  <c r="BD128" i="119"/>
  <c r="BC128" i="119"/>
  <c r="BF128" i="119" s="1"/>
  <c r="BG128" i="119" s="1"/>
  <c r="BB128" i="119"/>
  <c r="AS128" i="119"/>
  <c r="AT128" i="119" s="1"/>
  <c r="AP128" i="119"/>
  <c r="AQ128" i="119" s="1"/>
  <c r="AG128" i="119"/>
  <c r="AF128" i="119"/>
  <c r="H128" i="119"/>
  <c r="E128" i="119"/>
  <c r="DJ127" i="119"/>
  <c r="DK127" i="119" s="1"/>
  <c r="DH127" i="119"/>
  <c r="DG127" i="119"/>
  <c r="DE127" i="119"/>
  <c r="DD127" i="119"/>
  <c r="DA127" i="119"/>
  <c r="DB127" i="119" s="1"/>
  <c r="CY127" i="119"/>
  <c r="CX127" i="119"/>
  <c r="CV127" i="119"/>
  <c r="CU127" i="119"/>
  <c r="CB127" i="119"/>
  <c r="CC127" i="119" s="1"/>
  <c r="BZ127" i="119"/>
  <c r="BY127" i="119"/>
  <c r="BM127" i="119"/>
  <c r="BL127" i="119"/>
  <c r="BF127" i="119"/>
  <c r="BG127" i="119" s="1"/>
  <c r="BE127" i="119"/>
  <c r="BD127" i="119"/>
  <c r="BC127" i="119"/>
  <c r="BB127" i="119"/>
  <c r="AS127" i="119"/>
  <c r="AT127" i="119" s="1"/>
  <c r="AQ127" i="119"/>
  <c r="AP127" i="119"/>
  <c r="AG127" i="119"/>
  <c r="AF127" i="119"/>
  <c r="AC127" i="119"/>
  <c r="AD127" i="119" s="1"/>
  <c r="X127" i="119"/>
  <c r="W127" i="119"/>
  <c r="U127" i="119"/>
  <c r="T127" i="119"/>
  <c r="Q127" i="119"/>
  <c r="R127" i="119" s="1"/>
  <c r="O127" i="119"/>
  <c r="N127" i="119"/>
  <c r="I127" i="119"/>
  <c r="H127" i="119"/>
  <c r="J127" i="119" s="1"/>
  <c r="E127" i="119"/>
  <c r="DK126" i="119"/>
  <c r="DJ126" i="119"/>
  <c r="DH126" i="119"/>
  <c r="DG126" i="119"/>
  <c r="DD126" i="119"/>
  <c r="DE126" i="119" s="1"/>
  <c r="DB126" i="119"/>
  <c r="DA126" i="119"/>
  <c r="CY126" i="119"/>
  <c r="CX126" i="119"/>
  <c r="CU126" i="119"/>
  <c r="CV126" i="119" s="1"/>
  <c r="CC126" i="119"/>
  <c r="CB126" i="119"/>
  <c r="BZ126" i="119"/>
  <c r="BY126" i="119"/>
  <c r="BL126" i="119"/>
  <c r="BM126" i="119" s="1"/>
  <c r="BE126" i="119"/>
  <c r="BD126" i="119"/>
  <c r="BC126" i="119"/>
  <c r="BB126" i="119"/>
  <c r="BF126" i="119" s="1"/>
  <c r="BG126" i="119" s="1"/>
  <c r="AT126" i="119"/>
  <c r="AS126" i="119"/>
  <c r="AQ126" i="119"/>
  <c r="AP126" i="119"/>
  <c r="AF126" i="119"/>
  <c r="AG126" i="119" s="1"/>
  <c r="AD126" i="119"/>
  <c r="AC126" i="119"/>
  <c r="X126" i="119"/>
  <c r="W126" i="119"/>
  <c r="T126" i="119"/>
  <c r="U126" i="119" s="1"/>
  <c r="R126" i="119"/>
  <c r="Q126" i="119"/>
  <c r="O126" i="119"/>
  <c r="N126" i="119"/>
  <c r="I126" i="119"/>
  <c r="J126" i="119" s="1"/>
  <c r="H126" i="119"/>
  <c r="E126" i="119"/>
  <c r="DK125" i="119"/>
  <c r="DJ125" i="119"/>
  <c r="DG125" i="119"/>
  <c r="DH125" i="119" s="1"/>
  <c r="DE125" i="119"/>
  <c r="DD125" i="119"/>
  <c r="DB125" i="119"/>
  <c r="DA125" i="119"/>
  <c r="CX125" i="119"/>
  <c r="CY125" i="119" s="1"/>
  <c r="CV125" i="119"/>
  <c r="CU125" i="119"/>
  <c r="CC125" i="119"/>
  <c r="CB125" i="119"/>
  <c r="BY125" i="119"/>
  <c r="BZ125" i="119" s="1"/>
  <c r="BM125" i="119"/>
  <c r="BL125" i="119"/>
  <c r="BE125" i="119"/>
  <c r="BD125" i="119"/>
  <c r="BC125" i="119"/>
  <c r="BB125" i="119"/>
  <c r="AT125" i="119"/>
  <c r="AS125" i="119"/>
  <c r="AP125" i="119"/>
  <c r="AQ125" i="119" s="1"/>
  <c r="AG125" i="119"/>
  <c r="AF125" i="119"/>
  <c r="AD125" i="119"/>
  <c r="AC125" i="119"/>
  <c r="W125" i="119"/>
  <c r="X125" i="119" s="1"/>
  <c r="U125" i="119"/>
  <c r="T125" i="119"/>
  <c r="R125" i="119"/>
  <c r="Q125" i="119"/>
  <c r="N125" i="119"/>
  <c r="O125" i="119" s="1"/>
  <c r="J125" i="119"/>
  <c r="I125" i="119"/>
  <c r="H125" i="119"/>
  <c r="E125" i="119"/>
  <c r="DJ124" i="119"/>
  <c r="DK124" i="119" s="1"/>
  <c r="DH124" i="119"/>
  <c r="DG124" i="119"/>
  <c r="DE124" i="119"/>
  <c r="DD124" i="119"/>
  <c r="DA124" i="119"/>
  <c r="DB124" i="119" s="1"/>
  <c r="CY124" i="119"/>
  <c r="CX124" i="119"/>
  <c r="CV124" i="119"/>
  <c r="CU124" i="119"/>
  <c r="CB124" i="119"/>
  <c r="CC124" i="119" s="1"/>
  <c r="BZ124" i="119"/>
  <c r="BY124" i="119"/>
  <c r="BM124" i="119"/>
  <c r="BL124" i="119"/>
  <c r="BF124" i="119"/>
  <c r="BG124" i="119" s="1"/>
  <c r="BE124" i="119"/>
  <c r="BD124" i="119"/>
  <c r="BC124" i="119"/>
  <c r="BB124" i="119"/>
  <c r="AS124" i="119"/>
  <c r="AT124" i="119" s="1"/>
  <c r="AQ124" i="119"/>
  <c r="AP124" i="119"/>
  <c r="AG124" i="119"/>
  <c r="AF124" i="119"/>
  <c r="AC124" i="119"/>
  <c r="AD124" i="119" s="1"/>
  <c r="X124" i="119"/>
  <c r="W124" i="119"/>
  <c r="U124" i="119"/>
  <c r="T124" i="119"/>
  <c r="Q124" i="119"/>
  <c r="R124" i="119" s="1"/>
  <c r="O124" i="119"/>
  <c r="N124" i="119"/>
  <c r="J124" i="119"/>
  <c r="I124" i="119"/>
  <c r="H124" i="119"/>
  <c r="E124" i="119"/>
  <c r="DK123" i="119"/>
  <c r="DJ123" i="119"/>
  <c r="DH123" i="119"/>
  <c r="DG123" i="119"/>
  <c r="DD123" i="119"/>
  <c r="DE123" i="119" s="1"/>
  <c r="DB123" i="119"/>
  <c r="DA123" i="119"/>
  <c r="CX123" i="119"/>
  <c r="CY123" i="119" s="1"/>
  <c r="CU123" i="119"/>
  <c r="CV123" i="119" s="1"/>
  <c r="CC123" i="119"/>
  <c r="CB123" i="119"/>
  <c r="BY123" i="119"/>
  <c r="BZ123" i="119" s="1"/>
  <c r="BL123" i="119"/>
  <c r="BM123" i="119" s="1"/>
  <c r="BE123" i="119"/>
  <c r="BD123" i="119"/>
  <c r="BC123" i="119"/>
  <c r="BB123" i="119"/>
  <c r="BF123" i="119" s="1"/>
  <c r="BG123" i="119" s="1"/>
  <c r="AT123" i="119"/>
  <c r="AS123" i="119"/>
  <c r="AP123" i="119"/>
  <c r="AQ123" i="119" s="1"/>
  <c r="AF123" i="119"/>
  <c r="AG123" i="119" s="1"/>
  <c r="AD123" i="119"/>
  <c r="AC123" i="119"/>
  <c r="W123" i="119"/>
  <c r="X123" i="119" s="1"/>
  <c r="T123" i="119"/>
  <c r="U123" i="119" s="1"/>
  <c r="R123" i="119"/>
  <c r="Q123" i="119"/>
  <c r="N123" i="119"/>
  <c r="O123" i="119" s="1"/>
  <c r="I123" i="119"/>
  <c r="J123" i="119" s="1"/>
  <c r="H123" i="119"/>
  <c r="E123" i="119"/>
  <c r="DJ122" i="119"/>
  <c r="DK122" i="119" s="1"/>
  <c r="DG122" i="119"/>
  <c r="DH122" i="119" s="1"/>
  <c r="DE122" i="119"/>
  <c r="DD122" i="119"/>
  <c r="DA122" i="119"/>
  <c r="DB122" i="119" s="1"/>
  <c r="CX122" i="119"/>
  <c r="CY122" i="119" s="1"/>
  <c r="CV122" i="119"/>
  <c r="CU122" i="119"/>
  <c r="CB122" i="119"/>
  <c r="CC122" i="119" s="1"/>
  <c r="BY122" i="119"/>
  <c r="BZ122" i="119" s="1"/>
  <c r="BM122" i="119"/>
  <c r="BL122" i="119"/>
  <c r="BE122" i="119"/>
  <c r="BD122" i="119"/>
  <c r="BF122" i="119" s="1"/>
  <c r="BG122" i="119" s="1"/>
  <c r="BC122" i="119"/>
  <c r="BB122" i="119"/>
  <c r="AS122" i="119"/>
  <c r="AT122" i="119" s="1"/>
  <c r="AP122" i="119"/>
  <c r="AQ122" i="119" s="1"/>
  <c r="AG122" i="119"/>
  <c r="AF122" i="119"/>
  <c r="AC122" i="119"/>
  <c r="AD122" i="119" s="1"/>
  <c r="W122" i="119"/>
  <c r="X122" i="119" s="1"/>
  <c r="U122" i="119"/>
  <c r="T122" i="119"/>
  <c r="Q122" i="119"/>
  <c r="R122" i="119" s="1"/>
  <c r="N122" i="119"/>
  <c r="O122" i="119" s="1"/>
  <c r="J122" i="119"/>
  <c r="I122" i="119"/>
  <c r="H122" i="119"/>
  <c r="E122" i="119"/>
  <c r="DJ121" i="119"/>
  <c r="DK121" i="119" s="1"/>
  <c r="DH121" i="119"/>
  <c r="DG121" i="119"/>
  <c r="DD121" i="119"/>
  <c r="DB121" i="119"/>
  <c r="DA121" i="119"/>
  <c r="CX121" i="119"/>
  <c r="CV121" i="119"/>
  <c r="CU121" i="119"/>
  <c r="CK121" i="119"/>
  <c r="CC121" i="119"/>
  <c r="CB121" i="119"/>
  <c r="BZ121" i="119"/>
  <c r="BY121" i="119"/>
  <c r="BL121" i="119"/>
  <c r="BM121" i="119" s="1"/>
  <c r="BE121" i="119"/>
  <c r="BD121" i="119"/>
  <c r="BC121" i="119"/>
  <c r="BB121" i="119"/>
  <c r="AT121" i="119"/>
  <c r="AS121" i="119"/>
  <c r="AQ121" i="119"/>
  <c r="AP121" i="119"/>
  <c r="AF121" i="119"/>
  <c r="AG121" i="119" s="1"/>
  <c r="AD121" i="119"/>
  <c r="AC121" i="119"/>
  <c r="W121" i="119"/>
  <c r="X121" i="119" s="1"/>
  <c r="T121" i="119"/>
  <c r="U121" i="119" s="1"/>
  <c r="R121" i="119"/>
  <c r="Q121" i="119"/>
  <c r="N121" i="119"/>
  <c r="O121" i="119" s="1"/>
  <c r="I121" i="119"/>
  <c r="J121" i="119" s="1"/>
  <c r="H121" i="119"/>
  <c r="E121" i="119"/>
  <c r="DK120" i="119"/>
  <c r="DJ120" i="119"/>
  <c r="DG120" i="119"/>
  <c r="DH120" i="119" s="1"/>
  <c r="DE120" i="119"/>
  <c r="DD120" i="119"/>
  <c r="DA120" i="119"/>
  <c r="DB120" i="119" s="1"/>
  <c r="CX120" i="119"/>
  <c r="CY120" i="119" s="1"/>
  <c r="CV120" i="119"/>
  <c r="CU120" i="119"/>
  <c r="CC120" i="119"/>
  <c r="CB120" i="119"/>
  <c r="BY120" i="119"/>
  <c r="BZ120" i="119" s="1"/>
  <c r="BM120" i="119"/>
  <c r="BL120" i="119"/>
  <c r="BG120" i="119"/>
  <c r="BE120" i="119"/>
  <c r="BD120" i="119"/>
  <c r="BF120" i="119" s="1"/>
  <c r="BC120" i="119"/>
  <c r="BB120" i="119"/>
  <c r="AT120" i="119"/>
  <c r="AS120" i="119"/>
  <c r="AP120" i="119"/>
  <c r="AQ120" i="119" s="1"/>
  <c r="AG120" i="119"/>
  <c r="AF120" i="119"/>
  <c r="AC120" i="119"/>
  <c r="AD120" i="119" s="1"/>
  <c r="W120" i="119"/>
  <c r="X120" i="119" s="1"/>
  <c r="T120" i="119"/>
  <c r="U120" i="119" s="1"/>
  <c r="Q120" i="119"/>
  <c r="R120" i="119" s="1"/>
  <c r="N120" i="119"/>
  <c r="O120" i="119" s="1"/>
  <c r="I120" i="119"/>
  <c r="H120" i="119"/>
  <c r="J120" i="119" s="1"/>
  <c r="E120" i="119"/>
  <c r="DJ119" i="119"/>
  <c r="DK119" i="119" s="1"/>
  <c r="DH119" i="119"/>
  <c r="DG119" i="119"/>
  <c r="DD119" i="119"/>
  <c r="DE119" i="119" s="1"/>
  <c r="DA119" i="119"/>
  <c r="DB119" i="119" s="1"/>
  <c r="CX119" i="119"/>
  <c r="CY119" i="119" s="1"/>
  <c r="CV119" i="119"/>
  <c r="CU119" i="119"/>
  <c r="CB119" i="119"/>
  <c r="CC119" i="119" s="1"/>
  <c r="BY119" i="119"/>
  <c r="BZ119" i="119" s="1"/>
  <c r="BM119" i="119"/>
  <c r="BL119" i="119"/>
  <c r="BE119" i="119"/>
  <c r="BD119" i="119"/>
  <c r="BC119" i="119"/>
  <c r="BB119" i="119"/>
  <c r="BF119" i="119" s="1"/>
  <c r="BG119" i="119" s="1"/>
  <c r="AS119" i="119"/>
  <c r="AT119" i="119" s="1"/>
  <c r="AP119" i="119"/>
  <c r="AQ119" i="119" s="1"/>
  <c r="AF119" i="119"/>
  <c r="AG119" i="119" s="1"/>
  <c r="AC119" i="119"/>
  <c r="AD119" i="119" s="1"/>
  <c r="X119" i="119"/>
  <c r="W119" i="119"/>
  <c r="U119" i="119"/>
  <c r="T119" i="119"/>
  <c r="Q119" i="119"/>
  <c r="R119" i="119" s="1"/>
  <c r="O119" i="119"/>
  <c r="N119" i="119"/>
  <c r="I119" i="119"/>
  <c r="J119" i="119" s="1"/>
  <c r="H119" i="119"/>
  <c r="E119" i="119"/>
  <c r="DK118" i="119"/>
  <c r="DJ118" i="119"/>
  <c r="DG118" i="119"/>
  <c r="DH118" i="119" s="1"/>
  <c r="DD118" i="119"/>
  <c r="DE118" i="119" s="1"/>
  <c r="DA118" i="119"/>
  <c r="DB118" i="119" s="1"/>
  <c r="CY118" i="119"/>
  <c r="CX118" i="119"/>
  <c r="CU118" i="119"/>
  <c r="CV118" i="119" s="1"/>
  <c r="CB118" i="119"/>
  <c r="CC118" i="119" s="1"/>
  <c r="BZ118" i="119"/>
  <c r="BY118" i="119"/>
  <c r="BL118" i="119"/>
  <c r="BM118" i="119" s="1"/>
  <c r="BE118" i="119"/>
  <c r="BD118" i="119"/>
  <c r="BF118" i="119" s="1"/>
  <c r="BG118" i="119" s="1"/>
  <c r="BC118" i="119"/>
  <c r="BB118" i="119"/>
  <c r="AT118" i="119"/>
  <c r="AS118" i="119"/>
  <c r="AP118" i="119"/>
  <c r="AQ118" i="119" s="1"/>
  <c r="AF118" i="119"/>
  <c r="AG118" i="119" s="1"/>
  <c r="AC118" i="119"/>
  <c r="AD118" i="119" s="1"/>
  <c r="W118" i="119"/>
  <c r="X118" i="119" s="1"/>
  <c r="T118" i="119"/>
  <c r="U118" i="119" s="1"/>
  <c r="R118" i="119"/>
  <c r="Q118" i="119"/>
  <c r="O118" i="119"/>
  <c r="N118" i="119"/>
  <c r="I118" i="119"/>
  <c r="J118" i="119" s="1"/>
  <c r="H118" i="119"/>
  <c r="E118" i="119"/>
  <c r="DJ117" i="119"/>
  <c r="DK117" i="119" s="1"/>
  <c r="DG117" i="119"/>
  <c r="DH117" i="119" s="1"/>
  <c r="DD117" i="119"/>
  <c r="DE117" i="119" s="1"/>
  <c r="DB117" i="119"/>
  <c r="DA117" i="119"/>
  <c r="CX117" i="119"/>
  <c r="CY117" i="119" s="1"/>
  <c r="CU117" i="119"/>
  <c r="CV117" i="119" s="1"/>
  <c r="CC117" i="119"/>
  <c r="CB117" i="119"/>
  <c r="BY117" i="119"/>
  <c r="BZ117" i="119" s="1"/>
  <c r="BM117" i="119"/>
  <c r="BL117" i="119"/>
  <c r="BF117" i="119"/>
  <c r="BG117" i="119" s="1"/>
  <c r="BE117" i="119"/>
  <c r="BD117" i="119"/>
  <c r="BC117" i="119"/>
  <c r="BB117" i="119"/>
  <c r="AS117" i="119"/>
  <c r="AT117" i="119" s="1"/>
  <c r="AP117" i="119"/>
  <c r="AQ117" i="119" s="1"/>
  <c r="AF117" i="119"/>
  <c r="AG117" i="119" s="1"/>
  <c r="AC117" i="119"/>
  <c r="AD117" i="119" s="1"/>
  <c r="W117" i="119"/>
  <c r="X117" i="119" s="1"/>
  <c r="U117" i="119"/>
  <c r="T117" i="119"/>
  <c r="R117" i="119"/>
  <c r="Q117" i="119"/>
  <c r="N117" i="119"/>
  <c r="O117" i="119" s="1"/>
  <c r="J117" i="119"/>
  <c r="I117" i="119"/>
  <c r="H117" i="119"/>
  <c r="E117" i="119"/>
  <c r="DJ116" i="119"/>
  <c r="DK116" i="119" s="1"/>
  <c r="DG116" i="119"/>
  <c r="DH116" i="119" s="1"/>
  <c r="DE116" i="119"/>
  <c r="DD116" i="119"/>
  <c r="DA116" i="119"/>
  <c r="DB116" i="119" s="1"/>
  <c r="CX116" i="119"/>
  <c r="CY116" i="119" s="1"/>
  <c r="CV116" i="119"/>
  <c r="CU116" i="119"/>
  <c r="CB116" i="119"/>
  <c r="CC116" i="119" s="1"/>
  <c r="BZ116" i="119"/>
  <c r="BY116" i="119"/>
  <c r="BM116" i="119"/>
  <c r="BL116" i="119"/>
  <c r="BE116" i="119"/>
  <c r="BD116" i="119"/>
  <c r="BC116" i="119"/>
  <c r="BB116" i="119"/>
  <c r="BF116" i="119" s="1"/>
  <c r="BG116" i="119" s="1"/>
  <c r="AS116" i="119"/>
  <c r="AT116" i="119" s="1"/>
  <c r="AQ116" i="119"/>
  <c r="AP116" i="119"/>
  <c r="AG116" i="119"/>
  <c r="AF116" i="119"/>
  <c r="AC116" i="119"/>
  <c r="AD116" i="119" s="1"/>
  <c r="X116" i="119"/>
  <c r="W116" i="119"/>
  <c r="T116" i="119"/>
  <c r="U116" i="119" s="1"/>
  <c r="Q116" i="119"/>
  <c r="R116" i="119" s="1"/>
  <c r="N116" i="119"/>
  <c r="O116" i="119" s="1"/>
  <c r="J116" i="119"/>
  <c r="I116" i="119"/>
  <c r="H116" i="119"/>
  <c r="E116" i="119"/>
  <c r="DJ115" i="119"/>
  <c r="DK115" i="119" s="1"/>
  <c r="DH115" i="119"/>
  <c r="DG115" i="119"/>
  <c r="DD115" i="119"/>
  <c r="DE115" i="119" s="1"/>
  <c r="DA115" i="119"/>
  <c r="DB115" i="119" s="1"/>
  <c r="CY115" i="119"/>
  <c r="CX115" i="119"/>
  <c r="CU115" i="119"/>
  <c r="CV115" i="119" s="1"/>
  <c r="CC115" i="119"/>
  <c r="CB115" i="119"/>
  <c r="BY115" i="119"/>
  <c r="BZ115" i="119" s="1"/>
  <c r="BL115" i="119"/>
  <c r="BM115" i="119" s="1"/>
  <c r="BF115" i="119"/>
  <c r="BG115" i="119" s="1"/>
  <c r="BE115" i="119"/>
  <c r="BD115" i="119"/>
  <c r="BC115" i="119"/>
  <c r="BB115" i="119"/>
  <c r="AS115" i="119"/>
  <c r="AT115" i="119" s="1"/>
  <c r="AP115" i="119"/>
  <c r="AQ115" i="119" s="1"/>
  <c r="AF115" i="119"/>
  <c r="AG115" i="119" s="1"/>
  <c r="AD115" i="119"/>
  <c r="AC115" i="119"/>
  <c r="X115" i="119"/>
  <c r="W115" i="119"/>
  <c r="T115" i="119"/>
  <c r="U115" i="119" s="1"/>
  <c r="R115" i="119"/>
  <c r="Q115" i="119"/>
  <c r="N115" i="119"/>
  <c r="O115" i="119" s="1"/>
  <c r="I115" i="119"/>
  <c r="H115" i="119"/>
  <c r="E115" i="119"/>
  <c r="DK114" i="119"/>
  <c r="DJ114" i="119"/>
  <c r="DG114" i="119"/>
  <c r="DH114" i="119" s="1"/>
  <c r="DD114" i="119"/>
  <c r="DE114" i="119" s="1"/>
  <c r="DB114" i="119"/>
  <c r="DA114" i="119"/>
  <c r="CX114" i="119"/>
  <c r="CY114" i="119" s="1"/>
  <c r="CV114" i="119"/>
  <c r="CU114" i="119"/>
  <c r="CB114" i="119"/>
  <c r="CC114" i="119" s="1"/>
  <c r="BY114" i="119"/>
  <c r="BZ114" i="119" s="1"/>
  <c r="BL114" i="119"/>
  <c r="BM114" i="119" s="1"/>
  <c r="BE114" i="119"/>
  <c r="BD114" i="119"/>
  <c r="BC114" i="119"/>
  <c r="BB114" i="119"/>
  <c r="BF114" i="119" s="1"/>
  <c r="BG114" i="119" s="1"/>
  <c r="AS114" i="119"/>
  <c r="AT114" i="119" s="1"/>
  <c r="AP114" i="119"/>
  <c r="AQ114" i="119" s="1"/>
  <c r="AG114" i="119"/>
  <c r="AF114" i="119"/>
  <c r="AD114" i="119"/>
  <c r="AC114" i="119"/>
  <c r="W114" i="119"/>
  <c r="X114" i="119" s="1"/>
  <c r="U114" i="119"/>
  <c r="T114" i="119"/>
  <c r="Q114" i="119"/>
  <c r="R114" i="119" s="1"/>
  <c r="N114" i="119"/>
  <c r="O114" i="119" s="1"/>
  <c r="J114" i="119"/>
  <c r="I114" i="119"/>
  <c r="H114" i="119"/>
  <c r="E114" i="119"/>
  <c r="DJ113" i="119"/>
  <c r="DK113" i="119" s="1"/>
  <c r="DG113" i="119"/>
  <c r="DH113" i="119" s="1"/>
  <c r="DE113" i="119"/>
  <c r="DD113" i="119"/>
  <c r="DA113" i="119"/>
  <c r="DB113" i="119" s="1"/>
  <c r="CY113" i="119"/>
  <c r="CX113" i="119"/>
  <c r="CV113" i="119"/>
  <c r="CU113" i="119"/>
  <c r="CB113" i="119"/>
  <c r="CC113" i="119" s="1"/>
  <c r="BY113" i="119"/>
  <c r="BZ113" i="119" s="1"/>
  <c r="BL113" i="119"/>
  <c r="BM113" i="119" s="1"/>
  <c r="BE113" i="119"/>
  <c r="BF113" i="119" s="1"/>
  <c r="BG113" i="119" s="1"/>
  <c r="BD113" i="119"/>
  <c r="BC113" i="119"/>
  <c r="BB113" i="119"/>
  <c r="AS113" i="119"/>
  <c r="AT113" i="119" s="1"/>
  <c r="AP113" i="119"/>
  <c r="AQ113" i="119" s="1"/>
  <c r="AF113" i="119"/>
  <c r="AG113" i="119" s="1"/>
  <c r="AC113" i="119"/>
  <c r="AD113" i="119" s="1"/>
  <c r="W113" i="119"/>
  <c r="X113" i="119" s="1"/>
  <c r="U113" i="119"/>
  <c r="T113" i="119"/>
  <c r="Q113" i="119"/>
  <c r="R113" i="119" s="1"/>
  <c r="N113" i="119"/>
  <c r="O113" i="119" s="1"/>
  <c r="I113" i="119"/>
  <c r="J113" i="119" s="1"/>
  <c r="H113" i="119"/>
  <c r="E113" i="119"/>
  <c r="DJ112" i="119"/>
  <c r="DK112" i="119" s="1"/>
  <c r="DG112" i="119"/>
  <c r="DH112" i="119" s="1"/>
  <c r="DD112" i="119"/>
  <c r="DE112" i="119" s="1"/>
  <c r="DA112" i="119"/>
  <c r="DB112" i="119" s="1"/>
  <c r="CY112" i="119"/>
  <c r="CX112" i="119"/>
  <c r="CU112" i="119"/>
  <c r="CV112" i="119" s="1"/>
  <c r="CB112" i="119"/>
  <c r="CC112" i="119" s="1"/>
  <c r="BY112" i="119"/>
  <c r="BZ112" i="119" s="1"/>
  <c r="BL112" i="119"/>
  <c r="BM112" i="119" s="1"/>
  <c r="BE112" i="119"/>
  <c r="BD112" i="119"/>
  <c r="BC112" i="119"/>
  <c r="BB112" i="119"/>
  <c r="BF112" i="119" s="1"/>
  <c r="BG112" i="119" s="1"/>
  <c r="AS112" i="119"/>
  <c r="AT112" i="119" s="1"/>
  <c r="AQ112" i="119"/>
  <c r="AP112" i="119"/>
  <c r="AF112" i="119"/>
  <c r="AG112" i="119" s="1"/>
  <c r="AC112" i="119"/>
  <c r="AD112" i="119" s="1"/>
  <c r="W112" i="119"/>
  <c r="X112" i="119" s="1"/>
  <c r="T112" i="119"/>
  <c r="U112" i="119" s="1"/>
  <c r="Q112" i="119"/>
  <c r="R112" i="119" s="1"/>
  <c r="N112" i="119"/>
  <c r="O112" i="119" s="1"/>
  <c r="I112" i="119"/>
  <c r="J112" i="119" s="1"/>
  <c r="H112" i="119"/>
  <c r="E112" i="119"/>
  <c r="DJ111" i="119"/>
  <c r="DK111" i="119" s="1"/>
  <c r="DG111" i="119"/>
  <c r="DH111" i="119" s="1"/>
  <c r="DD111" i="119"/>
  <c r="DE111" i="119" s="1"/>
  <c r="DB111" i="119"/>
  <c r="DA111" i="119"/>
  <c r="CX111" i="119"/>
  <c r="CY111" i="119" s="1"/>
  <c r="CU111" i="119"/>
  <c r="CV111" i="119" s="1"/>
  <c r="CB111" i="119"/>
  <c r="CC111" i="119" s="1"/>
  <c r="BY111" i="119"/>
  <c r="BZ111" i="119" s="1"/>
  <c r="BL111" i="119"/>
  <c r="BM111" i="119" s="1"/>
  <c r="BE111" i="119"/>
  <c r="BD111" i="119"/>
  <c r="BC111" i="119"/>
  <c r="BB111" i="119"/>
  <c r="BF111" i="119" s="1"/>
  <c r="BG111" i="119" s="1"/>
  <c r="AS111" i="119"/>
  <c r="AT111" i="119" s="1"/>
  <c r="AP111" i="119"/>
  <c r="AQ111" i="119" s="1"/>
  <c r="AF111" i="119"/>
  <c r="AG111" i="119" s="1"/>
  <c r="AD111" i="119"/>
  <c r="AC111" i="119"/>
  <c r="W111" i="119"/>
  <c r="X111" i="119" s="1"/>
  <c r="T111" i="119"/>
  <c r="U111" i="119" s="1"/>
  <c r="Q111" i="119"/>
  <c r="R111" i="119" s="1"/>
  <c r="N111" i="119"/>
  <c r="O111" i="119" s="1"/>
  <c r="I111" i="119"/>
  <c r="J111" i="119" s="1"/>
  <c r="H111" i="119"/>
  <c r="E111" i="119"/>
  <c r="DJ110" i="119"/>
  <c r="DK110" i="119" s="1"/>
  <c r="DG110" i="119"/>
  <c r="DH110" i="119" s="1"/>
  <c r="DE110" i="119"/>
  <c r="DD110" i="119"/>
  <c r="DA110" i="119"/>
  <c r="DB110" i="119" s="1"/>
  <c r="CX110" i="119"/>
  <c r="CY110" i="119" s="1"/>
  <c r="CU110" i="119"/>
  <c r="CV110" i="119" s="1"/>
  <c r="CB110" i="119"/>
  <c r="CC110" i="119" s="1"/>
  <c r="BY110" i="119"/>
  <c r="BZ110" i="119" s="1"/>
  <c r="BL110" i="119"/>
  <c r="BM110" i="119" s="1"/>
  <c r="BE110" i="119"/>
  <c r="BD110" i="119"/>
  <c r="BC110" i="119"/>
  <c r="BF110" i="119" s="1"/>
  <c r="BG110" i="119" s="1"/>
  <c r="BB110" i="119"/>
  <c r="AS110" i="119"/>
  <c r="AT110" i="119" s="1"/>
  <c r="AP110" i="119"/>
  <c r="AQ110" i="119" s="1"/>
  <c r="AF110" i="119"/>
  <c r="AG110" i="119" s="1"/>
  <c r="AC110" i="119"/>
  <c r="AD110" i="119" s="1"/>
  <c r="W110" i="119"/>
  <c r="X110" i="119" s="1"/>
  <c r="T110" i="119"/>
  <c r="U110" i="119" s="1"/>
  <c r="Q110" i="119"/>
  <c r="R110" i="119" s="1"/>
  <c r="N110" i="119"/>
  <c r="O110" i="119" s="1"/>
  <c r="J110" i="119"/>
  <c r="I110" i="119"/>
  <c r="H110" i="119"/>
  <c r="E110" i="119"/>
  <c r="DJ109" i="119"/>
  <c r="DK109" i="119" s="1"/>
  <c r="DH109" i="119"/>
  <c r="DG109" i="119"/>
  <c r="DD109" i="119"/>
  <c r="DE109" i="119" s="1"/>
  <c r="DA109" i="119"/>
  <c r="DB109" i="119" s="1"/>
  <c r="CX109" i="119"/>
  <c r="CY109" i="119" s="1"/>
  <c r="CU109" i="119"/>
  <c r="CV109" i="119" s="1"/>
  <c r="CB109" i="119"/>
  <c r="CC109" i="119" s="1"/>
  <c r="BZ109" i="119"/>
  <c r="BY109" i="119"/>
  <c r="BL109" i="119"/>
  <c r="BM109" i="119" s="1"/>
  <c r="BE109" i="119"/>
  <c r="BF109" i="119" s="1"/>
  <c r="BG109" i="119" s="1"/>
  <c r="BD109" i="119"/>
  <c r="BC109" i="119"/>
  <c r="BB109" i="119"/>
  <c r="AS109" i="119"/>
  <c r="AT109" i="119" s="1"/>
  <c r="AP109" i="119"/>
  <c r="AQ109" i="119" s="1"/>
  <c r="AF109" i="119"/>
  <c r="AG109" i="119" s="1"/>
  <c r="AC109" i="119"/>
  <c r="AD109" i="119" s="1"/>
  <c r="W109" i="119"/>
  <c r="X109" i="119" s="1"/>
  <c r="T109" i="119"/>
  <c r="U109" i="119" s="1"/>
  <c r="Q109" i="119"/>
  <c r="R109" i="119" s="1"/>
  <c r="O109" i="119"/>
  <c r="N109" i="119"/>
  <c r="I109" i="119"/>
  <c r="J109" i="119" s="1"/>
  <c r="H109" i="119"/>
  <c r="E109" i="119"/>
  <c r="DK108" i="119"/>
  <c r="DJ108" i="119"/>
  <c r="DG108" i="119"/>
  <c r="DH108" i="119" s="1"/>
  <c r="DD108" i="119"/>
  <c r="DE108" i="119" s="1"/>
  <c r="DA108" i="119"/>
  <c r="DB108" i="119" s="1"/>
  <c r="CX108" i="119"/>
  <c r="CY108" i="119" s="1"/>
  <c r="CU108" i="119"/>
  <c r="CV108" i="119" s="1"/>
  <c r="CC108" i="119"/>
  <c r="CB108" i="119"/>
  <c r="BY108" i="119"/>
  <c r="BZ108" i="119" s="1"/>
  <c r="BL108" i="119"/>
  <c r="BM108" i="119" s="1"/>
  <c r="BE108" i="119"/>
  <c r="BD108" i="119"/>
  <c r="BC108" i="119"/>
  <c r="BB108" i="119"/>
  <c r="BF108" i="119" s="1"/>
  <c r="BG108" i="119" s="1"/>
  <c r="AT108" i="119"/>
  <c r="AS108" i="119"/>
  <c r="AP108" i="119"/>
  <c r="AQ108" i="119" s="1"/>
  <c r="AF108" i="119"/>
  <c r="AG108" i="119" s="1"/>
  <c r="AD108" i="119"/>
  <c r="AC108" i="119"/>
  <c r="W108" i="119"/>
  <c r="X108" i="119" s="1"/>
  <c r="T108" i="119"/>
  <c r="U108" i="119" s="1"/>
  <c r="Q108" i="119"/>
  <c r="R108" i="119" s="1"/>
  <c r="N108" i="119"/>
  <c r="O108" i="119" s="1"/>
  <c r="I108" i="119"/>
  <c r="H108" i="119"/>
  <c r="J108" i="119" s="1"/>
  <c r="E108" i="119"/>
  <c r="DJ107" i="119"/>
  <c r="DK107" i="119" s="1"/>
  <c r="DH107" i="119"/>
  <c r="DG107" i="119"/>
  <c r="DD107" i="119"/>
  <c r="DE107" i="119" s="1"/>
  <c r="DA107" i="119"/>
  <c r="DB107" i="119" s="1"/>
  <c r="CY107" i="119"/>
  <c r="CX107" i="119"/>
  <c r="CV107" i="119"/>
  <c r="CU107" i="119"/>
  <c r="CB107" i="119"/>
  <c r="CC107" i="119" s="1"/>
  <c r="BY107" i="119"/>
  <c r="BZ107" i="119" s="1"/>
  <c r="BM107" i="119"/>
  <c r="BL107" i="119"/>
  <c r="BE107" i="119"/>
  <c r="BD107" i="119"/>
  <c r="BC107" i="119"/>
  <c r="BB107" i="119"/>
  <c r="BF107" i="119" s="1"/>
  <c r="BG107" i="119" s="1"/>
  <c r="AS107" i="119"/>
  <c r="AT107" i="119" s="1"/>
  <c r="AP107" i="119"/>
  <c r="AQ107" i="119" s="1"/>
  <c r="AF107" i="119"/>
  <c r="AG107" i="119" s="1"/>
  <c r="AC107" i="119"/>
  <c r="AD107" i="119" s="1"/>
  <c r="X107" i="119"/>
  <c r="W107" i="119"/>
  <c r="T107" i="119"/>
  <c r="U107" i="119" s="1"/>
  <c r="Q107" i="119"/>
  <c r="R107" i="119" s="1"/>
  <c r="O107" i="119"/>
  <c r="N107" i="119"/>
  <c r="I107" i="119"/>
  <c r="J107" i="119" s="1"/>
  <c r="H107" i="119"/>
  <c r="E107" i="119"/>
  <c r="DK106" i="119"/>
  <c r="DJ106" i="119"/>
  <c r="DG106" i="119"/>
  <c r="DH106" i="119" s="1"/>
  <c r="DD106" i="119"/>
  <c r="DE106" i="119" s="1"/>
  <c r="DB106" i="119"/>
  <c r="DA106" i="119"/>
  <c r="CY106" i="119"/>
  <c r="CX106" i="119"/>
  <c r="CU106" i="119"/>
  <c r="CV106" i="119" s="1"/>
  <c r="CB106" i="119"/>
  <c r="CC106" i="119" s="1"/>
  <c r="BZ106" i="119"/>
  <c r="BY106" i="119"/>
  <c r="BL106" i="119"/>
  <c r="BM106" i="119" s="1"/>
  <c r="BE106" i="119"/>
  <c r="BF106" i="119" s="1"/>
  <c r="BG106" i="119" s="1"/>
  <c r="BD106" i="119"/>
  <c r="BC106" i="119"/>
  <c r="BB106" i="119"/>
  <c r="AS106" i="119"/>
  <c r="AT106" i="119" s="1"/>
  <c r="AQ106" i="119"/>
  <c r="AP106" i="119"/>
  <c r="AF106" i="119"/>
  <c r="AG106" i="119" s="1"/>
  <c r="AC106" i="119"/>
  <c r="AD106" i="119" s="1"/>
  <c r="W106" i="119"/>
  <c r="X106" i="119" s="1"/>
  <c r="T106" i="119"/>
  <c r="U106" i="119" s="1"/>
  <c r="R106" i="119"/>
  <c r="Q106" i="119"/>
  <c r="N106" i="119"/>
  <c r="O106" i="119" s="1"/>
  <c r="I106" i="119"/>
  <c r="J106" i="119" s="1"/>
  <c r="H106" i="119"/>
  <c r="E106" i="119"/>
  <c r="DJ105" i="119"/>
  <c r="DK105" i="119" s="1"/>
  <c r="DG105" i="119"/>
  <c r="DH105" i="119" s="1"/>
  <c r="DE105" i="119"/>
  <c r="DD105" i="119"/>
  <c r="DB105" i="119"/>
  <c r="DA105" i="119"/>
  <c r="CX105" i="119"/>
  <c r="CY105" i="119" s="1"/>
  <c r="CU105" i="119"/>
  <c r="CV105" i="119" s="1"/>
  <c r="CC105" i="119"/>
  <c r="CB105" i="119"/>
  <c r="BY105" i="119"/>
  <c r="BZ105" i="119" s="1"/>
  <c r="BL105" i="119"/>
  <c r="BM105" i="119" s="1"/>
  <c r="BG105" i="119"/>
  <c r="BE105" i="119"/>
  <c r="BD105" i="119"/>
  <c r="BC105" i="119"/>
  <c r="BB105" i="119"/>
  <c r="BF105" i="119" s="1"/>
  <c r="AT105" i="119"/>
  <c r="AS105" i="119"/>
  <c r="AP105" i="119"/>
  <c r="AQ105" i="119" s="1"/>
  <c r="AF105" i="119"/>
  <c r="AG105" i="119" s="1"/>
  <c r="AC105" i="119"/>
  <c r="AD105" i="119" s="1"/>
  <c r="W105" i="119"/>
  <c r="X105" i="119" s="1"/>
  <c r="U105" i="119"/>
  <c r="T105" i="119"/>
  <c r="Q105" i="119"/>
  <c r="R105" i="119" s="1"/>
  <c r="N105" i="119"/>
  <c r="J105" i="119"/>
  <c r="I105" i="119"/>
  <c r="H105" i="119"/>
  <c r="E105" i="119"/>
  <c r="DK104" i="119"/>
  <c r="DJ104" i="119"/>
  <c r="DH104" i="119"/>
  <c r="DG104" i="119"/>
  <c r="DD104" i="119"/>
  <c r="DE104" i="119" s="1"/>
  <c r="DB104" i="119"/>
  <c r="DA104" i="119"/>
  <c r="CY104" i="119"/>
  <c r="CX104" i="119"/>
  <c r="CU104" i="119"/>
  <c r="CV104" i="119" s="1"/>
  <c r="CC104" i="119"/>
  <c r="CB104" i="119"/>
  <c r="BZ104" i="119"/>
  <c r="BY104" i="119"/>
  <c r="BL104" i="119"/>
  <c r="BM104" i="119" s="1"/>
  <c r="BE104" i="119"/>
  <c r="BD104" i="119"/>
  <c r="BC104" i="119"/>
  <c r="BB104" i="119"/>
  <c r="AT104" i="119"/>
  <c r="AS104" i="119"/>
  <c r="AQ104" i="119"/>
  <c r="AP104" i="119"/>
  <c r="AG104" i="119"/>
  <c r="AF104" i="119"/>
  <c r="AD104" i="119"/>
  <c r="AC104" i="119"/>
  <c r="X104" i="119"/>
  <c r="W104" i="119"/>
  <c r="U104" i="119"/>
  <c r="T104" i="119"/>
  <c r="R104" i="119"/>
  <c r="Q104" i="119"/>
  <c r="N104" i="119"/>
  <c r="I104" i="119"/>
  <c r="J104" i="119" s="1"/>
  <c r="H104" i="119"/>
  <c r="E104" i="119"/>
  <c r="DJ103" i="119"/>
  <c r="DK103" i="119" s="1"/>
  <c r="DH103" i="119"/>
  <c r="DG103" i="119"/>
  <c r="DE103" i="119"/>
  <c r="DD103" i="119"/>
  <c r="DA103" i="119"/>
  <c r="DB103" i="119" s="1"/>
  <c r="CY103" i="119"/>
  <c r="CX103" i="119"/>
  <c r="CU103" i="119"/>
  <c r="CV103" i="119" s="1"/>
  <c r="CB103" i="119"/>
  <c r="CC103" i="119" s="1"/>
  <c r="BY103" i="119"/>
  <c r="BZ103" i="119" s="1"/>
  <c r="BM103" i="119"/>
  <c r="BL103" i="119"/>
  <c r="BE103" i="119"/>
  <c r="BD103" i="119"/>
  <c r="BC103" i="119"/>
  <c r="BB103" i="119"/>
  <c r="BF103" i="119" s="1"/>
  <c r="BG103" i="119" s="1"/>
  <c r="AS103" i="119"/>
  <c r="AT103" i="119" s="1"/>
  <c r="AQ103" i="119"/>
  <c r="AP103" i="119"/>
  <c r="AF103" i="119"/>
  <c r="AG103" i="119" s="1"/>
  <c r="AC103" i="119"/>
  <c r="AD103" i="119" s="1"/>
  <c r="W103" i="119"/>
  <c r="X103" i="119" s="1"/>
  <c r="T103" i="119"/>
  <c r="U103" i="119" s="1"/>
  <c r="Q103" i="119"/>
  <c r="R103" i="119" s="1"/>
  <c r="O103" i="119"/>
  <c r="N103" i="119"/>
  <c r="J103" i="119"/>
  <c r="I103" i="119"/>
  <c r="H103" i="119"/>
  <c r="E103" i="119"/>
  <c r="DK102" i="119"/>
  <c r="DJ102" i="119"/>
  <c r="DH102" i="119"/>
  <c r="DG102" i="119"/>
  <c r="DD102" i="119"/>
  <c r="DE102" i="119" s="1"/>
  <c r="DB102" i="119"/>
  <c r="DA102" i="119"/>
  <c r="CX102" i="119"/>
  <c r="CY102" i="119" s="1"/>
  <c r="CS102" i="119"/>
  <c r="CQ102" i="119"/>
  <c r="CF102" i="119"/>
  <c r="CE102" i="119"/>
  <c r="BL102" i="119"/>
  <c r="BM102" i="119" s="1"/>
  <c r="BE102" i="119"/>
  <c r="BD102" i="119"/>
  <c r="BC102" i="119"/>
  <c r="BB102" i="119"/>
  <c r="BF102" i="119" s="1"/>
  <c r="BG102" i="119" s="1"/>
  <c r="AS102" i="119"/>
  <c r="AT102" i="119" s="1"/>
  <c r="AP102" i="119"/>
  <c r="AQ102" i="119" s="1"/>
  <c r="AF102" i="119"/>
  <c r="AG102" i="119" s="1"/>
  <c r="AC102" i="119"/>
  <c r="AD102" i="119" s="1"/>
  <c r="X102" i="119"/>
  <c r="W102" i="119"/>
  <c r="T102" i="119"/>
  <c r="U102" i="119" s="1"/>
  <c r="Q102" i="119"/>
  <c r="R102" i="119" s="1"/>
  <c r="N102" i="119"/>
  <c r="O102" i="119" s="1"/>
  <c r="I102" i="119"/>
  <c r="J102" i="119" s="1"/>
  <c r="H102" i="119"/>
  <c r="E102" i="119"/>
  <c r="DJ101" i="119"/>
  <c r="DK101" i="119" s="1"/>
  <c r="DG101" i="119"/>
  <c r="DH101" i="119" s="1"/>
  <c r="DD101" i="119"/>
  <c r="DE101" i="119" s="1"/>
  <c r="DB101" i="119"/>
  <c r="DA101" i="119"/>
  <c r="CY101" i="119"/>
  <c r="CX101" i="119"/>
  <c r="CU101" i="119"/>
  <c r="CV101" i="119" s="1"/>
  <c r="CB101" i="119"/>
  <c r="CC101" i="119" s="1"/>
  <c r="BY101" i="119"/>
  <c r="BZ101" i="119" s="1"/>
  <c r="BL101" i="119"/>
  <c r="BM101" i="119" s="1"/>
  <c r="BE101" i="119"/>
  <c r="BF101" i="119" s="1"/>
  <c r="BG101" i="119" s="1"/>
  <c r="BD101" i="119"/>
  <c r="BC101" i="119"/>
  <c r="BB101" i="119"/>
  <c r="AS101" i="119"/>
  <c r="AT101" i="119" s="1"/>
  <c r="AQ101" i="119"/>
  <c r="AP101" i="119"/>
  <c r="AF101" i="119"/>
  <c r="AG101" i="119" s="1"/>
  <c r="AC101" i="119"/>
  <c r="AD101" i="119" s="1"/>
  <c r="X101" i="119"/>
  <c r="W101" i="119"/>
  <c r="T101" i="119"/>
  <c r="U101" i="119" s="1"/>
  <c r="R101" i="119"/>
  <c r="Q101" i="119"/>
  <c r="N101" i="119"/>
  <c r="O101" i="119" s="1"/>
  <c r="J101" i="119"/>
  <c r="I101" i="119"/>
  <c r="H101" i="119"/>
  <c r="E101" i="119"/>
  <c r="DJ100" i="119"/>
  <c r="DK100" i="119" s="1"/>
  <c r="DH100" i="119"/>
  <c r="DG100" i="119"/>
  <c r="DE100" i="119"/>
  <c r="DD100" i="119"/>
  <c r="DA100" i="119"/>
  <c r="DB100" i="119" s="1"/>
  <c r="CY100" i="119"/>
  <c r="CX100" i="119"/>
  <c r="CV100" i="119"/>
  <c r="CU100" i="119"/>
  <c r="CB100" i="119"/>
  <c r="CC100" i="119" s="1"/>
  <c r="BZ100" i="119"/>
  <c r="BY100" i="119"/>
  <c r="BM100" i="119"/>
  <c r="BL100" i="119"/>
  <c r="BF100" i="119"/>
  <c r="BG100" i="119" s="1"/>
  <c r="BE100" i="119"/>
  <c r="BD100" i="119"/>
  <c r="BC100" i="119"/>
  <c r="BB100" i="119"/>
  <c r="AS100" i="119"/>
  <c r="AT100" i="119" s="1"/>
  <c r="AQ100" i="119"/>
  <c r="AP100" i="119"/>
  <c r="AG100" i="119"/>
  <c r="AF100" i="119"/>
  <c r="AC100" i="119"/>
  <c r="AD100" i="119" s="1"/>
  <c r="X100" i="119"/>
  <c r="W100" i="119"/>
  <c r="U100" i="119"/>
  <c r="T100" i="119"/>
  <c r="Q100" i="119"/>
  <c r="R100" i="119" s="1"/>
  <c r="O100" i="119"/>
  <c r="N100" i="119"/>
  <c r="J100" i="119"/>
  <c r="I100" i="119"/>
  <c r="H100" i="119"/>
  <c r="E100" i="119"/>
  <c r="DK99" i="119"/>
  <c r="DJ99" i="119"/>
  <c r="DH99" i="119"/>
  <c r="DG99" i="119"/>
  <c r="DD99" i="119"/>
  <c r="DE99" i="119" s="1"/>
  <c r="DB99" i="119"/>
  <c r="DA99" i="119"/>
  <c r="CY99" i="119"/>
  <c r="CX99" i="119"/>
  <c r="CU99" i="119"/>
  <c r="CV99" i="119" s="1"/>
  <c r="CC99" i="119"/>
  <c r="CB99" i="119"/>
  <c r="BZ99" i="119"/>
  <c r="BY99" i="119"/>
  <c r="BS99" i="119"/>
  <c r="BL99" i="119"/>
  <c r="BM99" i="119" s="1"/>
  <c r="BE99" i="119"/>
  <c r="BD99" i="119"/>
  <c r="BC99" i="119"/>
  <c r="BB99" i="119"/>
  <c r="AS99" i="119"/>
  <c r="AT99" i="119" s="1"/>
  <c r="AP99" i="119"/>
  <c r="AQ99" i="119" s="1"/>
  <c r="AF99" i="119"/>
  <c r="AG99" i="119" s="1"/>
  <c r="AC99" i="119"/>
  <c r="AD99" i="119" s="1"/>
  <c r="W99" i="119"/>
  <c r="X99" i="119" s="1"/>
  <c r="T99" i="119"/>
  <c r="U99" i="119" s="1"/>
  <c r="Q99" i="119"/>
  <c r="R99" i="119" s="1"/>
  <c r="N99" i="119"/>
  <c r="O99" i="119" s="1"/>
  <c r="J99" i="119"/>
  <c r="I99" i="119"/>
  <c r="H99" i="119"/>
  <c r="E99" i="119"/>
  <c r="DJ98" i="119"/>
  <c r="DK98" i="119" s="1"/>
  <c r="DG98" i="119"/>
  <c r="DH98" i="119" s="1"/>
  <c r="DD98" i="119"/>
  <c r="DE98" i="119" s="1"/>
  <c r="DA98" i="119"/>
  <c r="DB98" i="119" s="1"/>
  <c r="CX98" i="119"/>
  <c r="CY98" i="119" s="1"/>
  <c r="CU98" i="119"/>
  <c r="CV98" i="119" s="1"/>
  <c r="CB98" i="119"/>
  <c r="CC98" i="119" s="1"/>
  <c r="BZ98" i="119"/>
  <c r="BY98" i="119"/>
  <c r="BL98" i="119"/>
  <c r="BM98" i="119" s="1"/>
  <c r="BE98" i="119"/>
  <c r="BD98" i="119"/>
  <c r="BC98" i="119"/>
  <c r="BB98" i="119"/>
  <c r="AS98" i="119"/>
  <c r="AT98" i="119" s="1"/>
  <c r="AP98" i="119"/>
  <c r="AQ98" i="119" s="1"/>
  <c r="AF98" i="119"/>
  <c r="AG98" i="119" s="1"/>
  <c r="AC98" i="119"/>
  <c r="AD98" i="119" s="1"/>
  <c r="X98" i="119"/>
  <c r="W98" i="119"/>
  <c r="T98" i="119"/>
  <c r="U98" i="119" s="1"/>
  <c r="Q98" i="119"/>
  <c r="R98" i="119" s="1"/>
  <c r="N98" i="119"/>
  <c r="O98" i="119" s="1"/>
  <c r="I98" i="119"/>
  <c r="J98" i="119" s="1"/>
  <c r="H98" i="119"/>
  <c r="E98" i="119"/>
  <c r="DJ97" i="119"/>
  <c r="DK97" i="119" s="1"/>
  <c r="DG97" i="119"/>
  <c r="DH97" i="119" s="1"/>
  <c r="DD97" i="119"/>
  <c r="DE97" i="119" s="1"/>
  <c r="DA97" i="119"/>
  <c r="DB97" i="119" s="1"/>
  <c r="CX97" i="119"/>
  <c r="CY97" i="119" s="1"/>
  <c r="CU97" i="119"/>
  <c r="CV97" i="119" s="1"/>
  <c r="CC97" i="119"/>
  <c r="CB97" i="119"/>
  <c r="BY97" i="119"/>
  <c r="BZ97" i="119" s="1"/>
  <c r="BL97" i="119"/>
  <c r="BM97" i="119" s="1"/>
  <c r="BF97" i="119"/>
  <c r="BG97" i="119" s="1"/>
  <c r="BE97" i="119"/>
  <c r="BD97" i="119"/>
  <c r="BC97" i="119"/>
  <c r="BB97" i="119"/>
  <c r="AS97" i="119"/>
  <c r="AT97" i="119" s="1"/>
  <c r="AP97" i="119"/>
  <c r="AQ97" i="119" s="1"/>
  <c r="AF97" i="119"/>
  <c r="AG97" i="119" s="1"/>
  <c r="AC97" i="119"/>
  <c r="AD97" i="119" s="1"/>
  <c r="W97" i="119"/>
  <c r="X97" i="119" s="1"/>
  <c r="T97" i="119"/>
  <c r="U97" i="119" s="1"/>
  <c r="R97" i="119"/>
  <c r="Q97" i="119"/>
  <c r="N97" i="119"/>
  <c r="O97" i="119" s="1"/>
  <c r="I97" i="119"/>
  <c r="H97" i="119"/>
  <c r="E97" i="119"/>
  <c r="DJ96" i="119"/>
  <c r="DK96" i="119" s="1"/>
  <c r="DG96" i="119"/>
  <c r="DH96" i="119" s="1"/>
  <c r="DD96" i="119"/>
  <c r="DE96" i="119" s="1"/>
  <c r="DA96" i="119"/>
  <c r="DB96" i="119" s="1"/>
  <c r="CX96" i="119"/>
  <c r="CY96" i="119" s="1"/>
  <c r="CV96" i="119"/>
  <c r="CU96" i="119"/>
  <c r="CB96" i="119"/>
  <c r="CC96" i="119" s="1"/>
  <c r="BY96" i="119"/>
  <c r="BZ96" i="119" s="1"/>
  <c r="BL96" i="119"/>
  <c r="BM96" i="119" s="1"/>
  <c r="BE96" i="119"/>
  <c r="BD96" i="119"/>
  <c r="BC96" i="119"/>
  <c r="BB96" i="119"/>
  <c r="BF96" i="119" s="1"/>
  <c r="BG96" i="119" s="1"/>
  <c r="AS96" i="119"/>
  <c r="AT96" i="119" s="1"/>
  <c r="AP96" i="119"/>
  <c r="AQ96" i="119" s="1"/>
  <c r="AG96" i="119"/>
  <c r="AF96" i="119"/>
  <c r="AC96" i="119"/>
  <c r="AD96" i="119" s="1"/>
  <c r="W96" i="119"/>
  <c r="X96" i="119" s="1"/>
  <c r="T96" i="119"/>
  <c r="U96" i="119" s="1"/>
  <c r="Q96" i="119"/>
  <c r="R96" i="119" s="1"/>
  <c r="N96" i="119"/>
  <c r="O96" i="119" s="1"/>
  <c r="I96" i="119"/>
  <c r="J96" i="119" s="1"/>
  <c r="H96" i="119"/>
  <c r="E96" i="119"/>
  <c r="DJ95" i="119"/>
  <c r="DK95" i="119" s="1"/>
  <c r="DH95" i="119"/>
  <c r="DG95" i="119"/>
  <c r="DD95" i="119"/>
  <c r="DE95" i="119" s="1"/>
  <c r="DA95" i="119"/>
  <c r="DB95" i="119" s="1"/>
  <c r="CX95" i="119"/>
  <c r="CY95" i="119" s="1"/>
  <c r="CU95" i="119"/>
  <c r="CV95" i="119" s="1"/>
  <c r="CB95" i="119"/>
  <c r="CC95" i="119" s="1"/>
  <c r="BY95" i="119"/>
  <c r="BZ95" i="119" s="1"/>
  <c r="BL95" i="119"/>
  <c r="BM95" i="119" s="1"/>
  <c r="BE95" i="119"/>
  <c r="BD95" i="119"/>
  <c r="BC95" i="119"/>
  <c r="BB95" i="119"/>
  <c r="AS95" i="119"/>
  <c r="AT95" i="119" s="1"/>
  <c r="AP95" i="119"/>
  <c r="AQ95" i="119" s="1"/>
  <c r="AF95" i="119"/>
  <c r="AG95" i="119" s="1"/>
  <c r="AC95" i="119"/>
  <c r="AD95" i="119" s="1"/>
  <c r="W95" i="119"/>
  <c r="X95" i="119" s="1"/>
  <c r="T95" i="119"/>
  <c r="U95" i="119" s="1"/>
  <c r="Q95" i="119"/>
  <c r="R95" i="119" s="1"/>
  <c r="O95" i="119"/>
  <c r="N95" i="119"/>
  <c r="I95" i="119"/>
  <c r="J95" i="119" s="1"/>
  <c r="H95" i="119"/>
  <c r="E95" i="119"/>
  <c r="DK94" i="119"/>
  <c r="DJ94" i="119"/>
  <c r="DG94" i="119"/>
  <c r="DH94" i="119" s="1"/>
  <c r="DD94" i="119"/>
  <c r="DE94" i="119" s="1"/>
  <c r="DA94" i="119"/>
  <c r="DB94" i="119" s="1"/>
  <c r="CX94" i="119"/>
  <c r="CY94" i="119" s="1"/>
  <c r="CU94" i="119"/>
  <c r="CV94" i="119" s="1"/>
  <c r="CB94" i="119"/>
  <c r="CC94" i="119" s="1"/>
  <c r="BY94" i="119"/>
  <c r="BZ94" i="119" s="1"/>
  <c r="BL94" i="119"/>
  <c r="BM94" i="119" s="1"/>
  <c r="BG94" i="119"/>
  <c r="BF94" i="119"/>
  <c r="BE94" i="119"/>
  <c r="BD94" i="119"/>
  <c r="BC94" i="119"/>
  <c r="BB94" i="119"/>
  <c r="AT94" i="119"/>
  <c r="AS94" i="119"/>
  <c r="AP94" i="119"/>
  <c r="AQ94" i="119" s="1"/>
  <c r="AF94" i="119"/>
  <c r="AG94" i="119" s="1"/>
  <c r="AC94" i="119"/>
  <c r="AD94" i="119" s="1"/>
  <c r="W94" i="119"/>
  <c r="X94" i="119" s="1"/>
  <c r="T94" i="119"/>
  <c r="U94" i="119" s="1"/>
  <c r="Q94" i="119"/>
  <c r="R94" i="119" s="1"/>
  <c r="N94" i="119"/>
  <c r="O94" i="119" s="1"/>
  <c r="I94" i="119"/>
  <c r="H94" i="119"/>
  <c r="E94" i="119"/>
  <c r="DJ93" i="119"/>
  <c r="DK93" i="119" s="1"/>
  <c r="DG93" i="119"/>
  <c r="DH93" i="119" s="1"/>
  <c r="DD93" i="119"/>
  <c r="DB93" i="119"/>
  <c r="DA93" i="119"/>
  <c r="CX93" i="119"/>
  <c r="CU93" i="119"/>
  <c r="CV93" i="119" s="1"/>
  <c r="CK93" i="119"/>
  <c r="CC93" i="119"/>
  <c r="CB93" i="119"/>
  <c r="BZ93" i="119"/>
  <c r="BY93" i="119"/>
  <c r="BL93" i="119"/>
  <c r="BM93" i="119" s="1"/>
  <c r="BE93" i="119"/>
  <c r="BD93" i="119"/>
  <c r="BC93" i="119"/>
  <c r="BB93" i="119"/>
  <c r="BF93" i="119" s="1"/>
  <c r="BG93" i="119" s="1"/>
  <c r="AT93" i="119"/>
  <c r="AS93" i="119"/>
  <c r="AQ93" i="119"/>
  <c r="AP93" i="119"/>
  <c r="AF93" i="119"/>
  <c r="AG93" i="119" s="1"/>
  <c r="AD93" i="119"/>
  <c r="AC93" i="119"/>
  <c r="X93" i="119"/>
  <c r="W93" i="119"/>
  <c r="T93" i="119"/>
  <c r="U93" i="119" s="1"/>
  <c r="R93" i="119"/>
  <c r="Q93" i="119"/>
  <c r="O93" i="119"/>
  <c r="N93" i="119"/>
  <c r="I93" i="119"/>
  <c r="H93" i="119"/>
  <c r="E93" i="119"/>
  <c r="DK92" i="119"/>
  <c r="DJ92" i="119"/>
  <c r="DG92" i="119"/>
  <c r="DH92" i="119" s="1"/>
  <c r="DE92" i="119"/>
  <c r="DD92" i="119"/>
  <c r="DB92" i="119"/>
  <c r="DA92" i="119"/>
  <c r="CX92" i="119"/>
  <c r="CY92" i="119" s="1"/>
  <c r="CS92" i="119"/>
  <c r="CQ92" i="119"/>
  <c r="CF92" i="119"/>
  <c r="CE92" i="119"/>
  <c r="BL92" i="119"/>
  <c r="BM92" i="119" s="1"/>
  <c r="BE92" i="119"/>
  <c r="BD92" i="119"/>
  <c r="BC92" i="119"/>
  <c r="BB92" i="119"/>
  <c r="BF92" i="119" s="1"/>
  <c r="BG92" i="119" s="1"/>
  <c r="AT92" i="119"/>
  <c r="AS92" i="119"/>
  <c r="AQ92" i="119"/>
  <c r="AP92" i="119"/>
  <c r="AF92" i="119"/>
  <c r="AG92" i="119" s="1"/>
  <c r="AD92" i="119"/>
  <c r="AC92" i="119"/>
  <c r="X92" i="119"/>
  <c r="W92" i="119"/>
  <c r="T92" i="119"/>
  <c r="U92" i="119" s="1"/>
  <c r="R92" i="119"/>
  <c r="Q92" i="119"/>
  <c r="O92" i="119"/>
  <c r="N92" i="119"/>
  <c r="I92" i="119"/>
  <c r="H92" i="119"/>
  <c r="E92" i="119"/>
  <c r="DK91" i="119"/>
  <c r="DJ91" i="119"/>
  <c r="DG91" i="119"/>
  <c r="DH91" i="119" s="1"/>
  <c r="DE91" i="119"/>
  <c r="DD91" i="119"/>
  <c r="DB91" i="119"/>
  <c r="DA91" i="119"/>
  <c r="CX91" i="119"/>
  <c r="CY91" i="119" s="1"/>
  <c r="CV91" i="119"/>
  <c r="CU91" i="119"/>
  <c r="CC91" i="119"/>
  <c r="CB91" i="119"/>
  <c r="BY91" i="119"/>
  <c r="BZ91" i="119" s="1"/>
  <c r="BQ91" i="119"/>
  <c r="BP91" i="119"/>
  <c r="BO91" i="119"/>
  <c r="BL91" i="119"/>
  <c r="BM91" i="119" s="1"/>
  <c r="BF91" i="119"/>
  <c r="BG91" i="119" s="1"/>
  <c r="BE91" i="119"/>
  <c r="BD91" i="119"/>
  <c r="BC91" i="119"/>
  <c r="BB91" i="119"/>
  <c r="AS91" i="119"/>
  <c r="AT91" i="119" s="1"/>
  <c r="AQ91" i="119"/>
  <c r="AP91" i="119"/>
  <c r="AF91" i="119"/>
  <c r="AG91" i="119" s="1"/>
  <c r="AC91" i="119"/>
  <c r="AD91" i="119" s="1"/>
  <c r="X91" i="119"/>
  <c r="W91" i="119"/>
  <c r="T91" i="119"/>
  <c r="U91" i="119" s="1"/>
  <c r="Q91" i="119"/>
  <c r="R91" i="119" s="1"/>
  <c r="N91" i="119"/>
  <c r="O91" i="119" s="1"/>
  <c r="I91" i="119"/>
  <c r="J91" i="119" s="1"/>
  <c r="H91" i="119"/>
  <c r="E91" i="119"/>
  <c r="DJ90" i="119"/>
  <c r="DK90" i="119" s="1"/>
  <c r="DG90" i="119"/>
  <c r="DH90" i="119" s="1"/>
  <c r="DE90" i="119"/>
  <c r="DD90" i="119"/>
  <c r="DA90" i="119"/>
  <c r="DB90" i="119" s="1"/>
  <c r="CX90" i="119"/>
  <c r="CY90" i="119" s="1"/>
  <c r="CV90" i="119"/>
  <c r="CU90" i="119"/>
  <c r="CB90" i="119"/>
  <c r="CC90" i="119" s="1"/>
  <c r="BY90" i="119"/>
  <c r="BZ90" i="119" s="1"/>
  <c r="BL90" i="119"/>
  <c r="BM90" i="119" s="1"/>
  <c r="BE90" i="119"/>
  <c r="BD90" i="119"/>
  <c r="BC90" i="119"/>
  <c r="BB90" i="119"/>
  <c r="BF90" i="119" s="1"/>
  <c r="BG90" i="119" s="1"/>
  <c r="AT90" i="119"/>
  <c r="AS90" i="119"/>
  <c r="AP90" i="119"/>
  <c r="AQ90" i="119" s="1"/>
  <c r="AF90" i="119"/>
  <c r="AG90" i="119" s="1"/>
  <c r="AD90" i="119"/>
  <c r="AC90" i="119"/>
  <c r="W90" i="119"/>
  <c r="X90" i="119" s="1"/>
  <c r="T90" i="119"/>
  <c r="U90" i="119" s="1"/>
  <c r="Q90" i="119"/>
  <c r="R90" i="119" s="1"/>
  <c r="N90" i="119"/>
  <c r="O90" i="119" s="1"/>
  <c r="I90" i="119"/>
  <c r="J90" i="119" s="1"/>
  <c r="H90" i="119"/>
  <c r="E90" i="119"/>
  <c r="DJ89" i="119"/>
  <c r="DK89" i="119" s="1"/>
  <c r="DH89" i="119"/>
  <c r="DG89" i="119"/>
  <c r="DD89" i="119"/>
  <c r="DE89" i="119" s="1"/>
  <c r="DA89" i="119"/>
  <c r="DB89" i="119" s="1"/>
  <c r="CY89" i="119"/>
  <c r="CX89" i="119"/>
  <c r="CU89" i="119"/>
  <c r="CV89" i="119" s="1"/>
  <c r="CB89" i="119"/>
  <c r="CC89" i="119" s="1"/>
  <c r="BY89" i="119"/>
  <c r="BZ89" i="119" s="1"/>
  <c r="BM89" i="119"/>
  <c r="BL89" i="119"/>
  <c r="BE89" i="119"/>
  <c r="BD89" i="119"/>
  <c r="BC89" i="119"/>
  <c r="BB89" i="119"/>
  <c r="BF89" i="119" s="1"/>
  <c r="BG89" i="119" s="1"/>
  <c r="AS89" i="119"/>
  <c r="AT89" i="119" s="1"/>
  <c r="AP89" i="119"/>
  <c r="AQ89" i="119" s="1"/>
  <c r="AF89" i="119"/>
  <c r="AG89" i="119" s="1"/>
  <c r="AC89" i="119"/>
  <c r="AD89" i="119" s="1"/>
  <c r="X89" i="119"/>
  <c r="W89" i="119"/>
  <c r="T89" i="119"/>
  <c r="U89" i="119" s="1"/>
  <c r="Q89" i="119"/>
  <c r="R89" i="119" s="1"/>
  <c r="O89" i="119"/>
  <c r="N89" i="119"/>
  <c r="I89" i="119"/>
  <c r="J89" i="119" s="1"/>
  <c r="H89" i="119"/>
  <c r="E89" i="119"/>
  <c r="DK88" i="119"/>
  <c r="DJ88" i="119"/>
  <c r="DG88" i="119"/>
  <c r="DH88" i="119" s="1"/>
  <c r="DD88" i="119"/>
  <c r="DE88" i="119" s="1"/>
  <c r="DA88" i="119"/>
  <c r="DB88" i="119" s="1"/>
  <c r="CY88" i="119"/>
  <c r="CX88" i="119"/>
  <c r="CU88" i="119"/>
  <c r="CV88" i="119" s="1"/>
  <c r="CB88" i="119"/>
  <c r="CC88" i="119" s="1"/>
  <c r="BZ88" i="119"/>
  <c r="BY88" i="119"/>
  <c r="BL88" i="119"/>
  <c r="BM88" i="119" s="1"/>
  <c r="BE88" i="119"/>
  <c r="BD88" i="119"/>
  <c r="BF88" i="119" s="1"/>
  <c r="BG88" i="119" s="1"/>
  <c r="BC88" i="119"/>
  <c r="BB88" i="119"/>
  <c r="AS88" i="119"/>
  <c r="AT88" i="119" s="1"/>
  <c r="AP88" i="119"/>
  <c r="AQ88" i="119" s="1"/>
  <c r="AF88" i="119"/>
  <c r="AG88" i="119" s="1"/>
  <c r="AC88" i="119"/>
  <c r="AD88" i="119" s="1"/>
  <c r="W88" i="119"/>
  <c r="X88" i="119" s="1"/>
  <c r="T88" i="119"/>
  <c r="U88" i="119" s="1"/>
  <c r="R88" i="119"/>
  <c r="Q88" i="119"/>
  <c r="N88" i="119"/>
  <c r="O88" i="119" s="1"/>
  <c r="I88" i="119"/>
  <c r="H88" i="119"/>
  <c r="E88" i="119"/>
  <c r="DJ87" i="119"/>
  <c r="DK87" i="119" s="1"/>
  <c r="DG87" i="119"/>
  <c r="DH87" i="119" s="1"/>
  <c r="DD87" i="119"/>
  <c r="DE87" i="119" s="1"/>
  <c r="DB87" i="119"/>
  <c r="DA87" i="119"/>
  <c r="CX87" i="119"/>
  <c r="CY87" i="119" s="1"/>
  <c r="CU87" i="119"/>
  <c r="CV87" i="119" s="1"/>
  <c r="CC87" i="119"/>
  <c r="CB87" i="119"/>
  <c r="BY87" i="119"/>
  <c r="BZ87" i="119" s="1"/>
  <c r="BL87" i="119"/>
  <c r="BM87" i="119" s="1"/>
  <c r="BF87" i="119"/>
  <c r="BG87" i="119" s="1"/>
  <c r="BE87" i="119"/>
  <c r="BD87" i="119"/>
  <c r="BC87" i="119"/>
  <c r="BB87" i="119"/>
  <c r="AS87" i="119"/>
  <c r="AT87" i="119" s="1"/>
  <c r="AP87" i="119"/>
  <c r="AQ87" i="119" s="1"/>
  <c r="AF87" i="119"/>
  <c r="AG87" i="119" s="1"/>
  <c r="AC87" i="119"/>
  <c r="AD87" i="119" s="1"/>
  <c r="W87" i="119"/>
  <c r="X87" i="119" s="1"/>
  <c r="U87" i="119"/>
  <c r="T87" i="119"/>
  <c r="Q87" i="119"/>
  <c r="R87" i="119" s="1"/>
  <c r="N87" i="119"/>
  <c r="O87" i="119" s="1"/>
  <c r="J87" i="119"/>
  <c r="I87" i="119"/>
  <c r="H87" i="119"/>
  <c r="E87" i="119"/>
  <c r="DJ86" i="119"/>
  <c r="DK86" i="119" s="1"/>
  <c r="DG86" i="119"/>
  <c r="DH86" i="119" s="1"/>
  <c r="DE86" i="119"/>
  <c r="DD86" i="119"/>
  <c r="DA86" i="119"/>
  <c r="DB86" i="119" s="1"/>
  <c r="CX86" i="119"/>
  <c r="CY86" i="119" s="1"/>
  <c r="CV86" i="119"/>
  <c r="CU86" i="119"/>
  <c r="CB86" i="119"/>
  <c r="CC86" i="119" s="1"/>
  <c r="BY86" i="119"/>
  <c r="BZ86" i="119" s="1"/>
  <c r="BL86" i="119"/>
  <c r="BM86" i="119" s="1"/>
  <c r="BE86" i="119"/>
  <c r="BD86" i="119"/>
  <c r="BC86" i="119"/>
  <c r="BB86" i="119"/>
  <c r="AS86" i="119"/>
  <c r="AT86" i="119" s="1"/>
  <c r="AQ86" i="119"/>
  <c r="AP86" i="119"/>
  <c r="AF86" i="119"/>
  <c r="AG86" i="119" s="1"/>
  <c r="AC86" i="119"/>
  <c r="AD86" i="119" s="1"/>
  <c r="W86" i="119"/>
  <c r="X86" i="119" s="1"/>
  <c r="U86" i="119"/>
  <c r="T86" i="119"/>
  <c r="Q86" i="119"/>
  <c r="R86" i="119" s="1"/>
  <c r="N86" i="119"/>
  <c r="O86" i="119" s="1"/>
  <c r="J86" i="119"/>
  <c r="I86" i="119"/>
  <c r="H86" i="119"/>
  <c r="E86" i="119"/>
  <c r="DJ85" i="119"/>
  <c r="DK85" i="119" s="1"/>
  <c r="DH85" i="119"/>
  <c r="DG85" i="119"/>
  <c r="DD85" i="119"/>
  <c r="DA85" i="119"/>
  <c r="CX85" i="119"/>
  <c r="CY85" i="119" s="1"/>
  <c r="CU85" i="119"/>
  <c r="CC85" i="119"/>
  <c r="CB85" i="119"/>
  <c r="BY85" i="119"/>
  <c r="BZ85" i="119" s="1"/>
  <c r="BL85" i="119"/>
  <c r="BM85" i="119" s="1"/>
  <c r="BG85" i="119"/>
  <c r="BE85" i="119"/>
  <c r="BD85" i="119"/>
  <c r="BC85" i="119"/>
  <c r="BB85" i="119"/>
  <c r="BF85" i="119" s="1"/>
  <c r="AT85" i="119"/>
  <c r="AS85" i="119"/>
  <c r="AP85" i="119"/>
  <c r="AQ85" i="119" s="1"/>
  <c r="AF85" i="119"/>
  <c r="AG85" i="119" s="1"/>
  <c r="AD85" i="119"/>
  <c r="AC85" i="119"/>
  <c r="W85" i="119"/>
  <c r="X85" i="119" s="1"/>
  <c r="U85" i="119"/>
  <c r="T85" i="119"/>
  <c r="R85" i="119"/>
  <c r="Q85" i="119"/>
  <c r="N85" i="119"/>
  <c r="O85" i="119" s="1"/>
  <c r="J85" i="119"/>
  <c r="I85" i="119"/>
  <c r="H85" i="119"/>
  <c r="E85" i="119"/>
  <c r="DJ84" i="119"/>
  <c r="DK84" i="119" s="1"/>
  <c r="DG84" i="119"/>
  <c r="DH84" i="119" s="1"/>
  <c r="DE84" i="119"/>
  <c r="DD84" i="119"/>
  <c r="DA84" i="119"/>
  <c r="DB84" i="119" s="1"/>
  <c r="CX84" i="119"/>
  <c r="CY84" i="119" s="1"/>
  <c r="CV84" i="119"/>
  <c r="CU84" i="119"/>
  <c r="CB84" i="119"/>
  <c r="CC84" i="119" s="1"/>
  <c r="BY84" i="119"/>
  <c r="BZ84" i="119" s="1"/>
  <c r="BM84" i="119"/>
  <c r="BL84" i="119"/>
  <c r="BF84" i="119"/>
  <c r="BG84" i="119" s="1"/>
  <c r="BE84" i="119"/>
  <c r="BD84" i="119"/>
  <c r="BC84" i="119"/>
  <c r="BB84" i="119"/>
  <c r="AS84" i="119"/>
  <c r="AT84" i="119" s="1"/>
  <c r="AQ84" i="119"/>
  <c r="AP84" i="119"/>
  <c r="AG84" i="119"/>
  <c r="AF84" i="119"/>
  <c r="AC84" i="119"/>
  <c r="AD84" i="119" s="1"/>
  <c r="X84" i="119"/>
  <c r="W84" i="119"/>
  <c r="U84" i="119"/>
  <c r="T84" i="119"/>
  <c r="Q84" i="119"/>
  <c r="R84" i="119" s="1"/>
  <c r="N84" i="119"/>
  <c r="O84" i="119" s="1"/>
  <c r="J84" i="119"/>
  <c r="I84" i="119"/>
  <c r="H84" i="119"/>
  <c r="E84" i="119"/>
  <c r="DJ83" i="119"/>
  <c r="DK83" i="119" s="1"/>
  <c r="DH83" i="119"/>
  <c r="DG83" i="119"/>
  <c r="DD83" i="119"/>
  <c r="DE83" i="119" s="1"/>
  <c r="DA83" i="119"/>
  <c r="DB83" i="119" s="1"/>
  <c r="CY83" i="119"/>
  <c r="CX83" i="119"/>
  <c r="CU83" i="119"/>
  <c r="CV83" i="119" s="1"/>
  <c r="CB83" i="119"/>
  <c r="CC83" i="119" s="1"/>
  <c r="BZ83" i="119"/>
  <c r="BY83" i="119"/>
  <c r="BL83" i="119"/>
  <c r="BM83" i="119" s="1"/>
  <c r="BE83" i="119"/>
  <c r="BD83" i="119"/>
  <c r="BC83" i="119"/>
  <c r="BB83" i="119"/>
  <c r="BF83" i="119" s="1"/>
  <c r="BG83" i="119" s="1"/>
  <c r="AS83" i="119"/>
  <c r="AT83" i="119" s="1"/>
  <c r="AQ83" i="119"/>
  <c r="AP83" i="119"/>
  <c r="AF83" i="119"/>
  <c r="AG83" i="119" s="1"/>
  <c r="AD83" i="119"/>
  <c r="AC83" i="119"/>
  <c r="X83" i="119"/>
  <c r="W83" i="119"/>
  <c r="T83" i="119"/>
  <c r="U83" i="119" s="1"/>
  <c r="R83" i="119"/>
  <c r="Q83" i="119"/>
  <c r="O83" i="119"/>
  <c r="N83" i="119"/>
  <c r="I83" i="119"/>
  <c r="H83" i="119"/>
  <c r="E83" i="119"/>
  <c r="DK82" i="119"/>
  <c r="DJ82" i="119"/>
  <c r="DG82" i="119"/>
  <c r="DH82" i="119" s="1"/>
  <c r="DD82" i="119"/>
  <c r="DE82" i="119" s="1"/>
  <c r="DB82" i="119"/>
  <c r="DA82" i="119"/>
  <c r="CX82" i="119"/>
  <c r="CY82" i="119" s="1"/>
  <c r="CU82" i="119"/>
  <c r="CV82" i="119" s="1"/>
  <c r="CC82" i="119"/>
  <c r="CB82" i="119"/>
  <c r="BY82" i="119"/>
  <c r="BZ82" i="119" s="1"/>
  <c r="BL82" i="119"/>
  <c r="BM82" i="119" s="1"/>
  <c r="BE82" i="119"/>
  <c r="BD82" i="119"/>
  <c r="BC82" i="119"/>
  <c r="BB82" i="119"/>
  <c r="AT82" i="119"/>
  <c r="AS82" i="119"/>
  <c r="AP82" i="119"/>
  <c r="AQ82" i="119" s="1"/>
  <c r="AG82" i="119"/>
  <c r="AF82" i="119"/>
  <c r="AC82" i="119"/>
  <c r="AD82" i="119" s="1"/>
  <c r="W82" i="119"/>
  <c r="X82" i="119" s="1"/>
  <c r="T82" i="119"/>
  <c r="U82" i="119" s="1"/>
  <c r="R82" i="119"/>
  <c r="Q82" i="119"/>
  <c r="N82" i="119"/>
  <c r="O82" i="119" s="1"/>
  <c r="I82" i="119"/>
  <c r="H82" i="119"/>
  <c r="E82" i="119"/>
  <c r="DJ81" i="119"/>
  <c r="DK81" i="119" s="1"/>
  <c r="DG81" i="119"/>
  <c r="DH81" i="119" s="1"/>
  <c r="DD81" i="119"/>
  <c r="DE81" i="119" s="1"/>
  <c r="DA81" i="119"/>
  <c r="DB81" i="119" s="1"/>
  <c r="CX81" i="119"/>
  <c r="CY81" i="119" s="1"/>
  <c r="CU81" i="119"/>
  <c r="CV81" i="119" s="1"/>
  <c r="CB81" i="119"/>
  <c r="CC81" i="119" s="1"/>
  <c r="BZ81" i="119"/>
  <c r="BY81" i="119"/>
  <c r="BL81" i="119"/>
  <c r="BM81" i="119" s="1"/>
  <c r="BE81" i="119"/>
  <c r="BD81" i="119"/>
  <c r="BF81" i="119" s="1"/>
  <c r="BG81" i="119" s="1"/>
  <c r="BC81" i="119"/>
  <c r="BB81" i="119"/>
  <c r="AS81" i="119"/>
  <c r="AT81" i="119" s="1"/>
  <c r="AP81" i="119"/>
  <c r="AQ81" i="119" s="1"/>
  <c r="AG81" i="119"/>
  <c r="AF81" i="119"/>
  <c r="AC81" i="119"/>
  <c r="AD81" i="119" s="1"/>
  <c r="W81" i="119"/>
  <c r="X81" i="119" s="1"/>
  <c r="U81" i="119"/>
  <c r="T81" i="119"/>
  <c r="Q81" i="119"/>
  <c r="R81" i="119" s="1"/>
  <c r="N81" i="119"/>
  <c r="O81" i="119" s="1"/>
  <c r="I81" i="119"/>
  <c r="J81" i="119" s="1"/>
  <c r="H81" i="119"/>
  <c r="E81" i="119"/>
  <c r="DJ80" i="119"/>
  <c r="DK80" i="119" s="1"/>
  <c r="DG80" i="119"/>
  <c r="DH80" i="119" s="1"/>
  <c r="DD80" i="119"/>
  <c r="DE80" i="119" s="1"/>
  <c r="DA80" i="119"/>
  <c r="DB80" i="119" s="1"/>
  <c r="CX80" i="119"/>
  <c r="CY80" i="119" s="1"/>
  <c r="CU80" i="119"/>
  <c r="CV80" i="119" s="1"/>
  <c r="CC80" i="119"/>
  <c r="CB80" i="119"/>
  <c r="BY80" i="119"/>
  <c r="BZ80" i="119" s="1"/>
  <c r="BL80" i="119"/>
  <c r="BM80" i="119" s="1"/>
  <c r="BG80" i="119"/>
  <c r="BF80" i="119"/>
  <c r="BE80" i="119"/>
  <c r="BD80" i="119"/>
  <c r="BC80" i="119"/>
  <c r="BB80" i="119"/>
  <c r="AT80" i="119"/>
  <c r="AS80" i="119"/>
  <c r="AP80" i="119"/>
  <c r="AQ80" i="119" s="1"/>
  <c r="AF80" i="119"/>
  <c r="AG80" i="119" s="1"/>
  <c r="AC80" i="119"/>
  <c r="AD80" i="119" s="1"/>
  <c r="X80" i="119"/>
  <c r="W80" i="119"/>
  <c r="T80" i="119"/>
  <c r="U80" i="119" s="1"/>
  <c r="Q80" i="119"/>
  <c r="R80" i="119" s="1"/>
  <c r="O80" i="119"/>
  <c r="N80" i="119"/>
  <c r="I80" i="119"/>
  <c r="H80" i="119"/>
  <c r="E80" i="119"/>
  <c r="DJ79" i="119"/>
  <c r="DK79" i="119" s="1"/>
  <c r="DH79" i="119"/>
  <c r="DG79" i="119"/>
  <c r="DD79" i="119"/>
  <c r="DE79" i="119" s="1"/>
  <c r="DA79" i="119"/>
  <c r="DB79" i="119" s="1"/>
  <c r="CY79" i="119"/>
  <c r="CX79" i="119"/>
  <c r="CU79" i="119"/>
  <c r="CV79" i="119" s="1"/>
  <c r="CB79" i="119"/>
  <c r="CC79" i="119" s="1"/>
  <c r="BZ79" i="119"/>
  <c r="BY79" i="119"/>
  <c r="BL79" i="119"/>
  <c r="BM79" i="119" s="1"/>
  <c r="BF79" i="119"/>
  <c r="BG79" i="119" s="1"/>
  <c r="BE79" i="119"/>
  <c r="BD79" i="119"/>
  <c r="BC79" i="119"/>
  <c r="BB79" i="119"/>
  <c r="AS79" i="119"/>
  <c r="AT79" i="119" s="1"/>
  <c r="AQ79" i="119"/>
  <c r="AP79" i="119"/>
  <c r="AF79" i="119"/>
  <c r="AG79" i="119" s="1"/>
  <c r="AC79" i="119"/>
  <c r="AD79" i="119" s="1"/>
  <c r="X79" i="119"/>
  <c r="W79" i="119"/>
  <c r="T79" i="119"/>
  <c r="U79" i="119" s="1"/>
  <c r="Q79" i="119"/>
  <c r="R79" i="119" s="1"/>
  <c r="O79" i="119"/>
  <c r="N79" i="119"/>
  <c r="I79" i="119"/>
  <c r="J79" i="119" s="1"/>
  <c r="H79" i="119"/>
  <c r="E79" i="119"/>
  <c r="DK78" i="119"/>
  <c r="DJ78" i="119"/>
  <c r="DG78" i="119"/>
  <c r="DH78" i="119" s="1"/>
  <c r="DD78" i="119"/>
  <c r="DE78" i="119" s="1"/>
  <c r="DB78" i="119"/>
  <c r="DA78" i="119"/>
  <c r="CX78" i="119"/>
  <c r="CY78" i="119" s="1"/>
  <c r="CU78" i="119"/>
  <c r="CV78" i="119" s="1"/>
  <c r="CC78" i="119"/>
  <c r="CB78" i="119"/>
  <c r="BY78" i="119"/>
  <c r="BZ78" i="119" s="1"/>
  <c r="BL78" i="119"/>
  <c r="BM78" i="119" s="1"/>
  <c r="BE78" i="119"/>
  <c r="BD78" i="119"/>
  <c r="BC78" i="119"/>
  <c r="BB78" i="119"/>
  <c r="BF78" i="119" s="1"/>
  <c r="BG78" i="119" s="1"/>
  <c r="AT78" i="119"/>
  <c r="AS78" i="119"/>
  <c r="AP78" i="119"/>
  <c r="AQ78" i="119" s="1"/>
  <c r="AF78" i="119"/>
  <c r="AG78" i="119" s="1"/>
  <c r="AD78" i="119"/>
  <c r="AC78" i="119"/>
  <c r="W78" i="119"/>
  <c r="X78" i="119" s="1"/>
  <c r="T78" i="119"/>
  <c r="U78" i="119" s="1"/>
  <c r="R78" i="119"/>
  <c r="Q78" i="119"/>
  <c r="N78" i="119"/>
  <c r="O78" i="119" s="1"/>
  <c r="I78" i="119"/>
  <c r="J78" i="119" s="1"/>
  <c r="H78" i="119"/>
  <c r="E78" i="119"/>
  <c r="DJ77" i="119"/>
  <c r="DK77" i="119" s="1"/>
  <c r="DG77" i="119"/>
  <c r="DH77" i="119" s="1"/>
  <c r="DE77" i="119"/>
  <c r="DD77" i="119"/>
  <c r="DA77" i="119"/>
  <c r="DB77" i="119" s="1"/>
  <c r="CX77" i="119"/>
  <c r="CY77" i="119" s="1"/>
  <c r="CV77" i="119"/>
  <c r="CU77" i="119"/>
  <c r="CB77" i="119"/>
  <c r="CC77" i="119" s="1"/>
  <c r="BY77" i="119"/>
  <c r="BZ77" i="119" s="1"/>
  <c r="BM77" i="119"/>
  <c r="BL77" i="119"/>
  <c r="BE77" i="119"/>
  <c r="BD77" i="119"/>
  <c r="BC77" i="119"/>
  <c r="BF77" i="119" s="1"/>
  <c r="BG77" i="119" s="1"/>
  <c r="BB77" i="119"/>
  <c r="AS77" i="119"/>
  <c r="AT77" i="119" s="1"/>
  <c r="AP77" i="119"/>
  <c r="AQ77" i="119" s="1"/>
  <c r="AG77" i="119"/>
  <c r="AF77" i="119"/>
  <c r="AC77" i="119"/>
  <c r="AD77" i="119" s="1"/>
  <c r="W77" i="119"/>
  <c r="X77" i="119" s="1"/>
  <c r="U77" i="119"/>
  <c r="T77" i="119"/>
  <c r="Q77" i="119"/>
  <c r="R77" i="119" s="1"/>
  <c r="N77" i="119"/>
  <c r="O77" i="119" s="1"/>
  <c r="J77" i="119"/>
  <c r="I77" i="119"/>
  <c r="H77" i="119"/>
  <c r="E77" i="119"/>
  <c r="DJ76" i="119"/>
  <c r="DK76" i="119" s="1"/>
  <c r="DH76" i="119"/>
  <c r="DG76" i="119"/>
  <c r="DD76" i="119"/>
  <c r="DE76" i="119" s="1"/>
  <c r="DA76" i="119"/>
  <c r="DB76" i="119" s="1"/>
  <c r="CY76" i="119"/>
  <c r="CX76" i="119"/>
  <c r="CU76" i="119"/>
  <c r="CV76" i="119" s="1"/>
  <c r="CB76" i="119"/>
  <c r="CC76" i="119" s="1"/>
  <c r="BZ76" i="119"/>
  <c r="BY76" i="119"/>
  <c r="BL76" i="119"/>
  <c r="BM76" i="119" s="1"/>
  <c r="BF76" i="119"/>
  <c r="BG76" i="119" s="1"/>
  <c r="BE76" i="119"/>
  <c r="BD76" i="119"/>
  <c r="BC76" i="119"/>
  <c r="BB76" i="119"/>
  <c r="AS76" i="119"/>
  <c r="AT76" i="119" s="1"/>
  <c r="AQ76" i="119"/>
  <c r="AP76" i="119"/>
  <c r="AF76" i="119"/>
  <c r="AG76" i="119" s="1"/>
  <c r="AC76" i="119"/>
  <c r="AD76" i="119" s="1"/>
  <c r="X76" i="119"/>
  <c r="W76" i="119"/>
  <c r="T76" i="119"/>
  <c r="U76" i="119" s="1"/>
  <c r="Q76" i="119"/>
  <c r="R76" i="119" s="1"/>
  <c r="O76" i="119"/>
  <c r="N76" i="119"/>
  <c r="I76" i="119"/>
  <c r="J76" i="119" s="1"/>
  <c r="H76" i="119"/>
  <c r="E76" i="119"/>
  <c r="DK75" i="119"/>
  <c r="DJ75" i="119"/>
  <c r="DG75" i="119"/>
  <c r="DH75" i="119" s="1"/>
  <c r="DD75" i="119"/>
  <c r="DE75" i="119" s="1"/>
  <c r="DB75" i="119"/>
  <c r="DA75" i="119"/>
  <c r="CX75" i="119"/>
  <c r="CY75" i="119" s="1"/>
  <c r="CU75" i="119"/>
  <c r="CV75" i="119" s="1"/>
  <c r="CC75" i="119"/>
  <c r="CB75" i="119"/>
  <c r="BY75" i="119"/>
  <c r="BZ75" i="119" s="1"/>
  <c r="BL75" i="119"/>
  <c r="BM75" i="119" s="1"/>
  <c r="BE75" i="119"/>
  <c r="BD75" i="119"/>
  <c r="BC75" i="119"/>
  <c r="BB75" i="119"/>
  <c r="BF75" i="119" s="1"/>
  <c r="BG75" i="119" s="1"/>
  <c r="AT75" i="119"/>
  <c r="AS75" i="119"/>
  <c r="AP75" i="119"/>
  <c r="AQ75" i="119" s="1"/>
  <c r="AF75" i="119"/>
  <c r="AG75" i="119" s="1"/>
  <c r="AD75" i="119"/>
  <c r="AC75" i="119"/>
  <c r="W75" i="119"/>
  <c r="X75" i="119" s="1"/>
  <c r="T75" i="119"/>
  <c r="U75" i="119" s="1"/>
  <c r="R75" i="119"/>
  <c r="Q75" i="119"/>
  <c r="N75" i="119"/>
  <c r="O75" i="119" s="1"/>
  <c r="I75" i="119"/>
  <c r="J75" i="119" s="1"/>
  <c r="H75" i="119"/>
  <c r="E75" i="119"/>
  <c r="DJ74" i="119"/>
  <c r="DK74" i="119" s="1"/>
  <c r="DG74" i="119"/>
  <c r="DH74" i="119" s="1"/>
  <c r="DE74" i="119"/>
  <c r="DD74" i="119"/>
  <c r="DA74" i="119"/>
  <c r="DB74" i="119" s="1"/>
  <c r="CX74" i="119"/>
  <c r="CY74" i="119" s="1"/>
  <c r="CS74" i="119"/>
  <c r="CQ74" i="119"/>
  <c r="CH74" i="119"/>
  <c r="CE74" i="119"/>
  <c r="CF74" i="119" s="1"/>
  <c r="BL74" i="119"/>
  <c r="BM74" i="119" s="1"/>
  <c r="BE74" i="119"/>
  <c r="BD74" i="119"/>
  <c r="BC74" i="119"/>
  <c r="BB74" i="119"/>
  <c r="BF74" i="119" s="1"/>
  <c r="BG74" i="119" s="1"/>
  <c r="AZ74" i="119"/>
  <c r="AS74" i="119"/>
  <c r="AT74" i="119" s="1"/>
  <c r="AQ74" i="119"/>
  <c r="AG74" i="119"/>
  <c r="AF74" i="119"/>
  <c r="AC74" i="119"/>
  <c r="AD74" i="119" s="1"/>
  <c r="W74" i="119"/>
  <c r="X74" i="119" s="1"/>
  <c r="T74" i="119"/>
  <c r="U74" i="119" s="1"/>
  <c r="Q74" i="119"/>
  <c r="R74" i="119" s="1"/>
  <c r="N74" i="119"/>
  <c r="O74" i="119" s="1"/>
  <c r="J74" i="119"/>
  <c r="I74" i="119"/>
  <c r="H74" i="119"/>
  <c r="E74" i="119"/>
  <c r="DJ73" i="119"/>
  <c r="DK73" i="119" s="1"/>
  <c r="DG73" i="119"/>
  <c r="DH73" i="119" s="1"/>
  <c r="DD73" i="119"/>
  <c r="DE73" i="119" s="1"/>
  <c r="DA73" i="119"/>
  <c r="DB73" i="119" s="1"/>
  <c r="CX73" i="119"/>
  <c r="CY73" i="119" s="1"/>
  <c r="CU73" i="119"/>
  <c r="CV73" i="119" s="1"/>
  <c r="CB73" i="119"/>
  <c r="CC73" i="119" s="1"/>
  <c r="BY73" i="119"/>
  <c r="BZ73" i="119" s="1"/>
  <c r="BL73" i="119"/>
  <c r="BM73" i="119" s="1"/>
  <c r="BE73" i="119"/>
  <c r="BD73" i="119"/>
  <c r="BC73" i="119"/>
  <c r="BB73" i="119"/>
  <c r="AS73" i="119"/>
  <c r="AT73" i="119" s="1"/>
  <c r="AP73" i="119"/>
  <c r="AQ73" i="119" s="1"/>
  <c r="AF73" i="119"/>
  <c r="AG73" i="119" s="1"/>
  <c r="AC73" i="119"/>
  <c r="AD73" i="119" s="1"/>
  <c r="W73" i="119"/>
  <c r="X73" i="119" s="1"/>
  <c r="T73" i="119"/>
  <c r="U73" i="119" s="1"/>
  <c r="Q73" i="119"/>
  <c r="R73" i="119" s="1"/>
  <c r="N73" i="119"/>
  <c r="O73" i="119" s="1"/>
  <c r="I73" i="119"/>
  <c r="J73" i="119" s="1"/>
  <c r="H73" i="119"/>
  <c r="E73" i="119"/>
  <c r="DK72" i="119"/>
  <c r="DJ72" i="119"/>
  <c r="DG72" i="119"/>
  <c r="DH72" i="119" s="1"/>
  <c r="DD72" i="119"/>
  <c r="DE72" i="119" s="1"/>
  <c r="DA72" i="119"/>
  <c r="DB72" i="119" s="1"/>
  <c r="CX72" i="119"/>
  <c r="CY72" i="119" s="1"/>
  <c r="CU72" i="119"/>
  <c r="CV72" i="119" s="1"/>
  <c r="CC72" i="119"/>
  <c r="CB72" i="119"/>
  <c r="BY72" i="119"/>
  <c r="BZ72" i="119" s="1"/>
  <c r="BL72" i="119"/>
  <c r="BM72" i="119" s="1"/>
  <c r="BG72" i="119"/>
  <c r="BF72" i="119"/>
  <c r="BE72" i="119"/>
  <c r="BD72" i="119"/>
  <c r="BC72" i="119"/>
  <c r="BB72" i="119"/>
  <c r="AT72" i="119"/>
  <c r="AS72" i="119"/>
  <c r="AP72" i="119"/>
  <c r="AQ72" i="119" s="1"/>
  <c r="AF72" i="119"/>
  <c r="AG72" i="119" s="1"/>
  <c r="AC72" i="119"/>
  <c r="AD72" i="119" s="1"/>
  <c r="W72" i="119"/>
  <c r="X72" i="119" s="1"/>
  <c r="T72" i="119"/>
  <c r="U72" i="119" s="1"/>
  <c r="Q72" i="119"/>
  <c r="R72" i="119" s="1"/>
  <c r="N72" i="119"/>
  <c r="O72" i="119" s="1"/>
  <c r="I72" i="119"/>
  <c r="H72" i="119"/>
  <c r="E72" i="119"/>
  <c r="DJ71" i="119"/>
  <c r="DK71" i="119" s="1"/>
  <c r="DG71" i="119"/>
  <c r="DH71" i="119" s="1"/>
  <c r="DD71" i="119"/>
  <c r="DE71" i="119" s="1"/>
  <c r="DA71" i="119"/>
  <c r="DB71" i="119" s="1"/>
  <c r="CX71" i="119"/>
  <c r="CY71" i="119" s="1"/>
  <c r="CU71" i="119"/>
  <c r="CV71" i="119" s="1"/>
  <c r="CB71" i="119"/>
  <c r="CC71" i="119" s="1"/>
  <c r="BY71" i="119"/>
  <c r="BZ71" i="119" s="1"/>
  <c r="BM71" i="119"/>
  <c r="BL71" i="119"/>
  <c r="BE71" i="119"/>
  <c r="BD71" i="119"/>
  <c r="BC71" i="119"/>
  <c r="BB71" i="119"/>
  <c r="BF71" i="119" s="1"/>
  <c r="BG71" i="119" s="1"/>
  <c r="AS71" i="119"/>
  <c r="AT71" i="119" s="1"/>
  <c r="AP71" i="119"/>
  <c r="AQ71" i="119" s="1"/>
  <c r="AF71" i="119"/>
  <c r="AG71" i="119" s="1"/>
  <c r="AC71" i="119"/>
  <c r="AD71" i="119" s="1"/>
  <c r="W71" i="119"/>
  <c r="X71" i="119" s="1"/>
  <c r="U71" i="119"/>
  <c r="T71" i="119"/>
  <c r="Q71" i="119"/>
  <c r="R71" i="119" s="1"/>
  <c r="N71" i="119"/>
  <c r="O71" i="119" s="1"/>
  <c r="I71" i="119"/>
  <c r="J71" i="119" s="1"/>
  <c r="H71" i="119"/>
  <c r="E71" i="119"/>
  <c r="DJ70" i="119"/>
  <c r="DK70" i="119" s="1"/>
  <c r="DH70" i="119"/>
  <c r="DG70" i="119"/>
  <c r="DD70" i="119"/>
  <c r="DE70" i="119" s="1"/>
  <c r="DA70" i="119"/>
  <c r="DB70" i="119" s="1"/>
  <c r="CX70" i="119"/>
  <c r="CY70" i="119" s="1"/>
  <c r="CU70" i="119"/>
  <c r="CV70" i="119" s="1"/>
  <c r="CB70" i="119"/>
  <c r="CC70" i="119" s="1"/>
  <c r="BY70" i="119"/>
  <c r="BZ70" i="119" s="1"/>
  <c r="BW70" i="119"/>
  <c r="BL70" i="119"/>
  <c r="BM70" i="119" s="1"/>
  <c r="AS70" i="119"/>
  <c r="AT70" i="119" s="1"/>
  <c r="AQ70" i="119"/>
  <c r="AP70" i="119"/>
  <c r="AF70" i="119"/>
  <c r="AG70" i="119" s="1"/>
  <c r="W70" i="119"/>
  <c r="X70" i="119" s="1"/>
  <c r="U70" i="119"/>
  <c r="T70" i="119"/>
  <c r="Q70" i="119"/>
  <c r="R70" i="119" s="1"/>
  <c r="N70" i="119"/>
  <c r="J70" i="119"/>
  <c r="I70" i="119"/>
  <c r="H70" i="119"/>
  <c r="E70" i="119"/>
  <c r="DJ69" i="119"/>
  <c r="DK69" i="119" s="1"/>
  <c r="DG69" i="119"/>
  <c r="DH69" i="119" s="1"/>
  <c r="DD69" i="119"/>
  <c r="DE69" i="119" s="1"/>
  <c r="DA69" i="119"/>
  <c r="DB69" i="119" s="1"/>
  <c r="CY69" i="119"/>
  <c r="CX69" i="119"/>
  <c r="CU69" i="119"/>
  <c r="CV69" i="119" s="1"/>
  <c r="CB69" i="119"/>
  <c r="CC69" i="119" s="1"/>
  <c r="BY69" i="119"/>
  <c r="BZ69" i="119" s="1"/>
  <c r="BS69" i="119"/>
  <c r="BL69" i="119"/>
  <c r="BM69" i="119" s="1"/>
  <c r="BE69" i="119"/>
  <c r="BF69" i="119" s="1"/>
  <c r="BG69" i="119" s="1"/>
  <c r="BD69" i="119"/>
  <c r="BC69" i="119"/>
  <c r="BB69" i="119"/>
  <c r="AS69" i="119"/>
  <c r="AT69" i="119" s="1"/>
  <c r="AQ69" i="119"/>
  <c r="AP69" i="119"/>
  <c r="AF69" i="119"/>
  <c r="AG69" i="119" s="1"/>
  <c r="AC69" i="119"/>
  <c r="AD69" i="119" s="1"/>
  <c r="X69" i="119"/>
  <c r="W69" i="119"/>
  <c r="T69" i="119"/>
  <c r="U69" i="119" s="1"/>
  <c r="Q69" i="119"/>
  <c r="R69" i="119" s="1"/>
  <c r="O69" i="119"/>
  <c r="N69" i="119"/>
  <c r="I69" i="119"/>
  <c r="J69" i="119" s="1"/>
  <c r="H69" i="119"/>
  <c r="E69" i="119"/>
  <c r="DK68" i="119"/>
  <c r="DJ68" i="119"/>
  <c r="DG68" i="119"/>
  <c r="DH68" i="119" s="1"/>
  <c r="DD68" i="119"/>
  <c r="DE68" i="119" s="1"/>
  <c r="DB68" i="119"/>
  <c r="DA68" i="119"/>
  <c r="CX68" i="119"/>
  <c r="CY68" i="119" s="1"/>
  <c r="CU68" i="119"/>
  <c r="CV68" i="119" s="1"/>
  <c r="CC68" i="119"/>
  <c r="CB68" i="119"/>
  <c r="BY68" i="119"/>
  <c r="BZ68" i="119" s="1"/>
  <c r="BL68" i="119"/>
  <c r="BM68" i="119" s="1"/>
  <c r="BG68" i="119"/>
  <c r="BE68" i="119"/>
  <c r="BD68" i="119"/>
  <c r="BC68" i="119"/>
  <c r="BB68" i="119"/>
  <c r="BF68" i="119" s="1"/>
  <c r="AT68" i="119"/>
  <c r="AS68" i="119"/>
  <c r="AP68" i="119"/>
  <c r="AQ68" i="119" s="1"/>
  <c r="AF68" i="119"/>
  <c r="AG68" i="119" s="1"/>
  <c r="AD68" i="119"/>
  <c r="AC68" i="119"/>
  <c r="W68" i="119"/>
  <c r="X68" i="119" s="1"/>
  <c r="T68" i="119"/>
  <c r="U68" i="119" s="1"/>
  <c r="R68" i="119"/>
  <c r="Q68" i="119"/>
  <c r="N68" i="119"/>
  <c r="O68" i="119" s="1"/>
  <c r="I68" i="119"/>
  <c r="H68" i="119"/>
  <c r="E68" i="119"/>
  <c r="DJ67" i="119"/>
  <c r="DK67" i="119" s="1"/>
  <c r="DG67" i="119"/>
  <c r="DH67" i="119" s="1"/>
  <c r="DE67" i="119"/>
  <c r="DD67" i="119"/>
  <c r="DA67" i="119"/>
  <c r="DB67" i="119" s="1"/>
  <c r="CX67" i="119"/>
  <c r="CY67" i="119" s="1"/>
  <c r="CV67" i="119"/>
  <c r="CU67" i="119"/>
  <c r="CB67" i="119"/>
  <c r="CC67" i="119" s="1"/>
  <c r="BY67" i="119"/>
  <c r="BZ67" i="119" s="1"/>
  <c r="BM67" i="119"/>
  <c r="BL67" i="119"/>
  <c r="BE67" i="119"/>
  <c r="BD67" i="119"/>
  <c r="BC67" i="119"/>
  <c r="BB67" i="119"/>
  <c r="AS67" i="119"/>
  <c r="AT67" i="119" s="1"/>
  <c r="AP67" i="119"/>
  <c r="AQ67" i="119" s="1"/>
  <c r="AG67" i="119"/>
  <c r="AF67" i="119"/>
  <c r="AC67" i="119"/>
  <c r="AD67" i="119" s="1"/>
  <c r="W67" i="119"/>
  <c r="X67" i="119" s="1"/>
  <c r="U67" i="119"/>
  <c r="T67" i="119"/>
  <c r="Q67" i="119"/>
  <c r="R67" i="119" s="1"/>
  <c r="N67" i="119"/>
  <c r="O67" i="119" s="1"/>
  <c r="J67" i="119"/>
  <c r="I67" i="119"/>
  <c r="H67" i="119"/>
  <c r="E67" i="119"/>
  <c r="DJ66" i="119"/>
  <c r="DK66" i="119" s="1"/>
  <c r="DH66" i="119"/>
  <c r="DG66" i="119"/>
  <c r="DD66" i="119"/>
  <c r="DE66" i="119" s="1"/>
  <c r="DA66" i="119"/>
  <c r="DB66" i="119" s="1"/>
  <c r="CY66" i="119"/>
  <c r="CX66" i="119"/>
  <c r="CU66" i="119"/>
  <c r="CV66" i="119" s="1"/>
  <c r="CC66" i="119"/>
  <c r="CB66" i="119"/>
  <c r="BZ66" i="119"/>
  <c r="BY66" i="119"/>
  <c r="BL66" i="119"/>
  <c r="BM66" i="119" s="1"/>
  <c r="BF66" i="119"/>
  <c r="BG66" i="119" s="1"/>
  <c r="BE66" i="119"/>
  <c r="BD66" i="119"/>
  <c r="BC66" i="119"/>
  <c r="BB66" i="119"/>
  <c r="AS66" i="119"/>
  <c r="AT66" i="119" s="1"/>
  <c r="AQ66" i="119"/>
  <c r="AP66" i="119"/>
  <c r="AF66" i="119"/>
  <c r="AG66" i="119" s="1"/>
  <c r="AC66" i="119"/>
  <c r="AD66" i="119" s="1"/>
  <c r="X66" i="119"/>
  <c r="W66" i="119"/>
  <c r="T66" i="119"/>
  <c r="U66" i="119" s="1"/>
  <c r="R66" i="119"/>
  <c r="Q66" i="119"/>
  <c r="O66" i="119"/>
  <c r="N66" i="119"/>
  <c r="I66" i="119"/>
  <c r="H66" i="119"/>
  <c r="E66" i="119"/>
  <c r="DK65" i="119"/>
  <c r="DJ65" i="119"/>
  <c r="DG65" i="119"/>
  <c r="DH65" i="119" s="1"/>
  <c r="DD65" i="119"/>
  <c r="DE65" i="119" s="1"/>
  <c r="DB65" i="119"/>
  <c r="DA65" i="119"/>
  <c r="CX65" i="119"/>
  <c r="CY65" i="119" s="1"/>
  <c r="CV65" i="119"/>
  <c r="CU65" i="119"/>
  <c r="CC65" i="119"/>
  <c r="CB65" i="119"/>
  <c r="BY65" i="119"/>
  <c r="BZ65" i="119" s="1"/>
  <c r="BL65" i="119"/>
  <c r="BM65" i="119" s="1"/>
  <c r="BE65" i="119"/>
  <c r="BD65" i="119"/>
  <c r="BC65" i="119"/>
  <c r="BB65" i="119"/>
  <c r="BF65" i="119" s="1"/>
  <c r="BG65" i="119" s="1"/>
  <c r="AT65" i="119"/>
  <c r="AS65" i="119"/>
  <c r="AP65" i="119"/>
  <c r="AQ65" i="119" s="1"/>
  <c r="AG65" i="119"/>
  <c r="AF65" i="119"/>
  <c r="AD65" i="119"/>
  <c r="AC65" i="119"/>
  <c r="W65" i="119"/>
  <c r="X65" i="119" s="1"/>
  <c r="T65" i="119"/>
  <c r="U65" i="119" s="1"/>
  <c r="Q65" i="119"/>
  <c r="R65" i="119" s="1"/>
  <c r="N65" i="119"/>
  <c r="O65" i="119" s="1"/>
  <c r="I65" i="119"/>
  <c r="J65" i="119" s="1"/>
  <c r="H65" i="119"/>
  <c r="E65" i="119"/>
  <c r="DJ64" i="119"/>
  <c r="DK64" i="119" s="1"/>
  <c r="DH64" i="119"/>
  <c r="DG64" i="119"/>
  <c r="DD64" i="119"/>
  <c r="DE64" i="119" s="1"/>
  <c r="DA64" i="119"/>
  <c r="DB64" i="119" s="1"/>
  <c r="CX64" i="119"/>
  <c r="CY64" i="119" s="1"/>
  <c r="CU64" i="119"/>
  <c r="CV64" i="119" s="1"/>
  <c r="CB64" i="119"/>
  <c r="CC64" i="119" s="1"/>
  <c r="BY64" i="119"/>
  <c r="BZ64" i="119" s="1"/>
  <c r="BM64" i="119"/>
  <c r="BL64" i="119"/>
  <c r="BE64" i="119"/>
  <c r="BD64" i="119"/>
  <c r="BC64" i="119"/>
  <c r="BB64" i="119"/>
  <c r="AS64" i="119"/>
  <c r="AT64" i="119" s="1"/>
  <c r="AP64" i="119"/>
  <c r="AQ64" i="119" s="1"/>
  <c r="AG64" i="119"/>
  <c r="AF64" i="119"/>
  <c r="AC64" i="119"/>
  <c r="AD64" i="119" s="1"/>
  <c r="X64" i="119"/>
  <c r="W64" i="119"/>
  <c r="T64" i="119"/>
  <c r="U64" i="119" s="1"/>
  <c r="Q64" i="119"/>
  <c r="R64" i="119" s="1"/>
  <c r="N64" i="119"/>
  <c r="O64" i="119" s="1"/>
  <c r="I64" i="119"/>
  <c r="J64" i="119" s="1"/>
  <c r="H64" i="119"/>
  <c r="E64" i="119"/>
  <c r="DJ63" i="119"/>
  <c r="DK63" i="119" s="1"/>
  <c r="DG63" i="119"/>
  <c r="DH63" i="119" s="1"/>
  <c r="DD63" i="119"/>
  <c r="DE63" i="119" s="1"/>
  <c r="DA63" i="119"/>
  <c r="DB63" i="119" s="1"/>
  <c r="CY63" i="119"/>
  <c r="CX63" i="119"/>
  <c r="CU63" i="119"/>
  <c r="CV63" i="119" s="1"/>
  <c r="CC63" i="119"/>
  <c r="CB63" i="119"/>
  <c r="BY63" i="119"/>
  <c r="BZ63" i="119" s="1"/>
  <c r="BL63" i="119"/>
  <c r="BM63" i="119" s="1"/>
  <c r="BF63" i="119"/>
  <c r="BG63" i="119" s="1"/>
  <c r="BE63" i="119"/>
  <c r="BD63" i="119"/>
  <c r="BC63" i="119"/>
  <c r="BB63" i="119"/>
  <c r="AS63" i="119"/>
  <c r="AT63" i="119" s="1"/>
  <c r="AP63" i="119"/>
  <c r="AQ63" i="119" s="1"/>
  <c r="AF63" i="119"/>
  <c r="AG63" i="119" s="1"/>
  <c r="AC63" i="119"/>
  <c r="AD63" i="119" s="1"/>
  <c r="X63" i="119"/>
  <c r="W63" i="119"/>
  <c r="T63" i="119"/>
  <c r="U63" i="119" s="1"/>
  <c r="R63" i="119"/>
  <c r="Q63" i="119"/>
  <c r="N63" i="119"/>
  <c r="O63" i="119" s="1"/>
  <c r="I63" i="119"/>
  <c r="H63" i="119"/>
  <c r="E63" i="119"/>
  <c r="DJ62" i="119"/>
  <c r="DK62" i="119" s="1"/>
  <c r="DG62" i="119"/>
  <c r="DH62" i="119" s="1"/>
  <c r="DD62" i="119"/>
  <c r="DE62" i="119" s="1"/>
  <c r="DB62" i="119"/>
  <c r="DA62" i="119"/>
  <c r="CX62" i="119"/>
  <c r="CY62" i="119" s="1"/>
  <c r="CV62" i="119"/>
  <c r="CU62" i="119"/>
  <c r="CC62" i="119"/>
  <c r="CB62" i="119"/>
  <c r="BY62" i="119"/>
  <c r="BZ62" i="119" s="1"/>
  <c r="BL62" i="119"/>
  <c r="BM62" i="119" s="1"/>
  <c r="BE62" i="119"/>
  <c r="BD62" i="119"/>
  <c r="BC62" i="119"/>
  <c r="BB62" i="119"/>
  <c r="BF62" i="119" s="1"/>
  <c r="BG62" i="119" s="1"/>
  <c r="AS62" i="119"/>
  <c r="AT62" i="119" s="1"/>
  <c r="AP62" i="119"/>
  <c r="AQ62" i="119" s="1"/>
  <c r="AF62" i="119"/>
  <c r="AG62" i="119" s="1"/>
  <c r="AD62" i="119"/>
  <c r="AC62" i="119"/>
  <c r="W62" i="119"/>
  <c r="X62" i="119" s="1"/>
  <c r="U62" i="119"/>
  <c r="T62" i="119"/>
  <c r="Q62" i="119"/>
  <c r="R62" i="119" s="1"/>
  <c r="N62" i="119"/>
  <c r="O62" i="119" s="1"/>
  <c r="J62" i="119"/>
  <c r="I62" i="119"/>
  <c r="H62" i="119"/>
  <c r="E62" i="119"/>
  <c r="DJ61" i="119"/>
  <c r="DK61" i="119" s="1"/>
  <c r="DG61" i="119"/>
  <c r="DH61" i="119" s="1"/>
  <c r="DE61" i="119"/>
  <c r="DD61" i="119"/>
  <c r="DA61" i="119"/>
  <c r="DB61" i="119" s="1"/>
  <c r="CY61" i="119"/>
  <c r="CX61" i="119"/>
  <c r="CV61" i="119"/>
  <c r="CU61" i="119"/>
  <c r="CB61" i="119"/>
  <c r="CC61" i="119" s="1"/>
  <c r="BY61" i="119"/>
  <c r="BZ61" i="119" s="1"/>
  <c r="BL61" i="119"/>
  <c r="BM61" i="119" s="1"/>
  <c r="BE61" i="119"/>
  <c r="BD61" i="119"/>
  <c r="BC61" i="119"/>
  <c r="BF61" i="119" s="1"/>
  <c r="BG61" i="119" s="1"/>
  <c r="BB61" i="119"/>
  <c r="AS61" i="119"/>
  <c r="AT61" i="119" s="1"/>
  <c r="AQ61" i="119"/>
  <c r="AP61" i="119"/>
  <c r="AF61" i="119"/>
  <c r="AG61" i="119" s="1"/>
  <c r="AC61" i="119"/>
  <c r="AD61" i="119" s="1"/>
  <c r="X61" i="119"/>
  <c r="W61" i="119"/>
  <c r="T61" i="119"/>
  <c r="U61" i="119" s="1"/>
  <c r="Q61" i="119"/>
  <c r="R61" i="119" s="1"/>
  <c r="N61" i="119"/>
  <c r="O61" i="119" s="1"/>
  <c r="J61" i="119"/>
  <c r="I61" i="119"/>
  <c r="H61" i="119"/>
  <c r="E61" i="119"/>
  <c r="DJ60" i="119"/>
  <c r="DK60" i="119" s="1"/>
  <c r="DH60" i="119"/>
  <c r="DG60" i="119"/>
  <c r="DD60" i="119"/>
  <c r="DE60" i="119" s="1"/>
  <c r="DB60" i="119"/>
  <c r="DA60" i="119"/>
  <c r="CY60" i="119"/>
  <c r="CX60" i="119"/>
  <c r="CU60" i="119"/>
  <c r="CV60" i="119" s="1"/>
  <c r="CB60" i="119"/>
  <c r="CC60" i="119" s="1"/>
  <c r="BY60" i="119"/>
  <c r="BZ60" i="119" s="1"/>
  <c r="BL60" i="119"/>
  <c r="BM60" i="119" s="1"/>
  <c r="BE60" i="119"/>
  <c r="BD60" i="119"/>
  <c r="BC60" i="119"/>
  <c r="BB60" i="119"/>
  <c r="BF60" i="119" s="1"/>
  <c r="BG60" i="119" s="1"/>
  <c r="AS60" i="119"/>
  <c r="AT60" i="119" s="1"/>
  <c r="AQ60" i="119"/>
  <c r="AP60" i="119"/>
  <c r="AF60" i="119"/>
  <c r="AG60" i="119" s="1"/>
  <c r="AD60" i="119"/>
  <c r="AC60" i="119"/>
  <c r="W60" i="119"/>
  <c r="X60" i="119" s="1"/>
  <c r="T60" i="119"/>
  <c r="U60" i="119" s="1"/>
  <c r="R60" i="119"/>
  <c r="Q60" i="119"/>
  <c r="N60" i="119"/>
  <c r="O60" i="119" s="1"/>
  <c r="I60" i="119"/>
  <c r="J60" i="119" s="1"/>
  <c r="H60" i="119"/>
  <c r="E60" i="119"/>
  <c r="DK59" i="119"/>
  <c r="DJ59" i="119"/>
  <c r="DG59" i="119"/>
  <c r="DH59" i="119" s="1"/>
  <c r="DE59" i="119"/>
  <c r="DD59" i="119"/>
  <c r="DB59" i="119"/>
  <c r="DA59" i="119"/>
  <c r="CX59" i="119"/>
  <c r="CY59" i="119" s="1"/>
  <c r="CU59" i="119"/>
  <c r="CV59" i="119" s="1"/>
  <c r="CB59" i="119"/>
  <c r="CC59" i="119" s="1"/>
  <c r="BY59" i="119"/>
  <c r="BZ59" i="119" s="1"/>
  <c r="BL59" i="119"/>
  <c r="BM59" i="119" s="1"/>
  <c r="BG59" i="119"/>
  <c r="BF59" i="119"/>
  <c r="BE59" i="119"/>
  <c r="BD59" i="119"/>
  <c r="BC59" i="119"/>
  <c r="BB59" i="119"/>
  <c r="AT59" i="119"/>
  <c r="AS59" i="119"/>
  <c r="AP59" i="119"/>
  <c r="AQ59" i="119" s="1"/>
  <c r="AG59" i="119"/>
  <c r="AF59" i="119"/>
  <c r="AC59" i="119"/>
  <c r="AD59" i="119" s="1"/>
  <c r="W59" i="119"/>
  <c r="X59" i="119" s="1"/>
  <c r="U59" i="119"/>
  <c r="T59" i="119"/>
  <c r="Q59" i="119"/>
  <c r="R59" i="119" s="1"/>
  <c r="N59" i="119"/>
  <c r="O59" i="119" s="1"/>
  <c r="I59" i="119"/>
  <c r="J59" i="119" s="1"/>
  <c r="H59" i="119"/>
  <c r="E59" i="119"/>
  <c r="DJ58" i="119"/>
  <c r="DK58" i="119" s="1"/>
  <c r="DH58" i="119"/>
  <c r="DG58" i="119"/>
  <c r="DD58" i="119"/>
  <c r="DE58" i="119" s="1"/>
  <c r="DA58" i="119"/>
  <c r="DB58" i="119" s="1"/>
  <c r="CX58" i="119"/>
  <c r="CY58" i="119" s="1"/>
  <c r="CV58" i="119"/>
  <c r="CU58" i="119"/>
  <c r="CB58" i="119"/>
  <c r="CC58" i="119" s="1"/>
  <c r="BY58" i="119"/>
  <c r="BZ58" i="119" s="1"/>
  <c r="BM58" i="119"/>
  <c r="BL58" i="119"/>
  <c r="BE58" i="119"/>
  <c r="BD58" i="119"/>
  <c r="BC58" i="119"/>
  <c r="BB58" i="119"/>
  <c r="BF58" i="119" s="1"/>
  <c r="BG58" i="119" s="1"/>
  <c r="AS58" i="119"/>
  <c r="AT58" i="119" s="1"/>
  <c r="AP58" i="119"/>
  <c r="AQ58" i="119" s="1"/>
  <c r="AF58" i="119"/>
  <c r="AG58" i="119" s="1"/>
  <c r="AC58" i="119"/>
  <c r="AD58" i="119" s="1"/>
  <c r="X58" i="119"/>
  <c r="W58" i="119"/>
  <c r="U58" i="119"/>
  <c r="T58" i="119"/>
  <c r="Q58" i="119"/>
  <c r="R58" i="119" s="1"/>
  <c r="O58" i="119"/>
  <c r="N58" i="119"/>
  <c r="I58" i="119"/>
  <c r="H58" i="119"/>
  <c r="E58" i="119"/>
  <c r="DJ57" i="119"/>
  <c r="DK57" i="119" s="1"/>
  <c r="DH57" i="119"/>
  <c r="DG57" i="119"/>
  <c r="DE57" i="119"/>
  <c r="DD57" i="119"/>
  <c r="DA57" i="119"/>
  <c r="DB57" i="119" s="1"/>
  <c r="CY57" i="119"/>
  <c r="CX57" i="119"/>
  <c r="CV57" i="119"/>
  <c r="CU57" i="119"/>
  <c r="CB57" i="119"/>
  <c r="CC57" i="119" s="1"/>
  <c r="BZ57" i="119"/>
  <c r="BY57" i="119"/>
  <c r="BM57" i="119"/>
  <c r="BL57" i="119"/>
  <c r="BF57" i="119"/>
  <c r="BG57" i="119" s="1"/>
  <c r="BE57" i="119"/>
  <c r="BD57" i="119"/>
  <c r="BC57" i="119"/>
  <c r="BB57" i="119"/>
  <c r="AS57" i="119"/>
  <c r="AT57" i="119" s="1"/>
  <c r="AQ57" i="119"/>
  <c r="AP57" i="119"/>
  <c r="AG57" i="119"/>
  <c r="AF57" i="119"/>
  <c r="AC57" i="119"/>
  <c r="AD57" i="119" s="1"/>
  <c r="X57" i="119"/>
  <c r="W57" i="119"/>
  <c r="U57" i="119"/>
  <c r="T57" i="119"/>
  <c r="Q57" i="119"/>
  <c r="R57" i="119" s="1"/>
  <c r="O57" i="119"/>
  <c r="N57" i="119"/>
  <c r="J57" i="119"/>
  <c r="I57" i="119"/>
  <c r="H57" i="119"/>
  <c r="E57" i="119"/>
  <c r="DK56" i="119"/>
  <c r="DJ56" i="119"/>
  <c r="DH56" i="119"/>
  <c r="DG56" i="119"/>
  <c r="DD56" i="119"/>
  <c r="DE56" i="119" s="1"/>
  <c r="DB56" i="119"/>
  <c r="DA56" i="119"/>
  <c r="CY56" i="119"/>
  <c r="CX56" i="119"/>
  <c r="CU56" i="119"/>
  <c r="CV56" i="119" s="1"/>
  <c r="CC56" i="119"/>
  <c r="CB56" i="119"/>
  <c r="BZ56" i="119"/>
  <c r="BY56" i="119"/>
  <c r="BL56" i="119"/>
  <c r="BM56" i="119" s="1"/>
  <c r="BE56" i="119"/>
  <c r="BD56" i="119"/>
  <c r="BC56" i="119"/>
  <c r="BB56" i="119"/>
  <c r="BF56" i="119" s="1"/>
  <c r="BG56" i="119" s="1"/>
  <c r="AT56" i="119"/>
  <c r="AS56" i="119"/>
  <c r="AQ56" i="119"/>
  <c r="AP56" i="119"/>
  <c r="AF56" i="119"/>
  <c r="AG56" i="119" s="1"/>
  <c r="AD56" i="119"/>
  <c r="AC56" i="119"/>
  <c r="X56" i="119"/>
  <c r="W56" i="119"/>
  <c r="T56" i="119"/>
  <c r="U56" i="119" s="1"/>
  <c r="R56" i="119"/>
  <c r="Q56" i="119"/>
  <c r="O56" i="119"/>
  <c r="N56" i="119"/>
  <c r="I56" i="119"/>
  <c r="J56" i="119" s="1"/>
  <c r="H56" i="119"/>
  <c r="E56" i="119"/>
  <c r="DK55" i="119"/>
  <c r="DJ55" i="119"/>
  <c r="DG55" i="119"/>
  <c r="DH55" i="119" s="1"/>
  <c r="DD55" i="119"/>
  <c r="DA55" i="119"/>
  <c r="CX55" i="119"/>
  <c r="CU55" i="119"/>
  <c r="CB55" i="119"/>
  <c r="CC55" i="119" s="1"/>
  <c r="BZ55" i="119"/>
  <c r="BY55" i="119"/>
  <c r="BM55" i="119"/>
  <c r="BL55" i="119"/>
  <c r="BF55" i="119"/>
  <c r="BG55" i="119" s="1"/>
  <c r="BE55" i="119"/>
  <c r="BD55" i="119"/>
  <c r="BC55" i="119"/>
  <c r="BB55" i="119"/>
  <c r="AS55" i="119"/>
  <c r="AT55" i="119" s="1"/>
  <c r="AQ55" i="119"/>
  <c r="AP55" i="119"/>
  <c r="AG55" i="119"/>
  <c r="AF55" i="119"/>
  <c r="AC55" i="119"/>
  <c r="AD55" i="119" s="1"/>
  <c r="X55" i="119"/>
  <c r="W55" i="119"/>
  <c r="U55" i="119"/>
  <c r="T55" i="119"/>
  <c r="Q55" i="119"/>
  <c r="R55" i="119" s="1"/>
  <c r="O55" i="119"/>
  <c r="N55" i="119"/>
  <c r="J55" i="119"/>
  <c r="I55" i="119"/>
  <c r="H55" i="119"/>
  <c r="E55" i="119"/>
  <c r="DK54" i="119"/>
  <c r="DJ54" i="119"/>
  <c r="DH54" i="119"/>
  <c r="DG54" i="119"/>
  <c r="DD54" i="119"/>
  <c r="DE54" i="119" s="1"/>
  <c r="DB54" i="119"/>
  <c r="DA54" i="119"/>
  <c r="CY54" i="119"/>
  <c r="CX54" i="119"/>
  <c r="CU54" i="119"/>
  <c r="CV54" i="119" s="1"/>
  <c r="CC54" i="119"/>
  <c r="CB54" i="119"/>
  <c r="BZ54" i="119"/>
  <c r="BY54" i="119"/>
  <c r="BL54" i="119"/>
  <c r="BM54" i="119" s="1"/>
  <c r="BE54" i="119"/>
  <c r="BD54" i="119"/>
  <c r="BC54" i="119"/>
  <c r="BB54" i="119"/>
  <c r="BF54" i="119" s="1"/>
  <c r="BG54" i="119" s="1"/>
  <c r="AT54" i="119"/>
  <c r="AS54" i="119"/>
  <c r="AQ54" i="119"/>
  <c r="AP54" i="119"/>
  <c r="AF54" i="119"/>
  <c r="AG54" i="119" s="1"/>
  <c r="AD54" i="119"/>
  <c r="AC54" i="119"/>
  <c r="X54" i="119"/>
  <c r="W54" i="119"/>
  <c r="T54" i="119"/>
  <c r="U54" i="119" s="1"/>
  <c r="R54" i="119"/>
  <c r="Q54" i="119"/>
  <c r="O54" i="119"/>
  <c r="N54" i="119"/>
  <c r="I54" i="119"/>
  <c r="J54" i="119" s="1"/>
  <c r="H54" i="119"/>
  <c r="E54" i="119"/>
  <c r="DK53" i="119"/>
  <c r="DJ53" i="119"/>
  <c r="DG53" i="119"/>
  <c r="DH53" i="119" s="1"/>
  <c r="DE53" i="119"/>
  <c r="DD53" i="119"/>
  <c r="DB53" i="119"/>
  <c r="DA53" i="119"/>
  <c r="CX53" i="119"/>
  <c r="CY53" i="119" s="1"/>
  <c r="CV53" i="119"/>
  <c r="CU53" i="119"/>
  <c r="CC53" i="119"/>
  <c r="CB53" i="119"/>
  <c r="BY53" i="119"/>
  <c r="BZ53" i="119" s="1"/>
  <c r="BM53" i="119"/>
  <c r="BL53" i="119"/>
  <c r="BE53" i="119"/>
  <c r="BD53" i="119"/>
  <c r="BC53" i="119"/>
  <c r="BB53" i="119"/>
  <c r="BF53" i="119" s="1"/>
  <c r="BG53" i="119" s="1"/>
  <c r="AT53" i="119"/>
  <c r="AS53" i="119"/>
  <c r="AP53" i="119"/>
  <c r="AQ53" i="119" s="1"/>
  <c r="AG53" i="119"/>
  <c r="AF53" i="119"/>
  <c r="AD53" i="119"/>
  <c r="AC53" i="119"/>
  <c r="W53" i="119"/>
  <c r="X53" i="119" s="1"/>
  <c r="U53" i="119"/>
  <c r="T53" i="119"/>
  <c r="R53" i="119"/>
  <c r="Q53" i="119"/>
  <c r="N53" i="119"/>
  <c r="O53" i="119" s="1"/>
  <c r="J53" i="119"/>
  <c r="I53" i="119"/>
  <c r="H53" i="119"/>
  <c r="E53" i="119"/>
  <c r="DJ52" i="119"/>
  <c r="DK52" i="119" s="1"/>
  <c r="DH52" i="119"/>
  <c r="DG52" i="119"/>
  <c r="DE52" i="119"/>
  <c r="DD52" i="119"/>
  <c r="DA52" i="119"/>
  <c r="DB52" i="119" s="1"/>
  <c r="CY52" i="119"/>
  <c r="CX52" i="119"/>
  <c r="CV52" i="119"/>
  <c r="CU52" i="119"/>
  <c r="CB52" i="119"/>
  <c r="CC52" i="119" s="1"/>
  <c r="BZ52" i="119"/>
  <c r="BY52" i="119"/>
  <c r="BP52" i="119"/>
  <c r="BO52" i="119"/>
  <c r="BL52" i="119"/>
  <c r="BM52" i="119" s="1"/>
  <c r="BE52" i="119"/>
  <c r="BD52" i="119"/>
  <c r="BC52" i="119"/>
  <c r="BB52" i="119"/>
  <c r="AT52" i="119"/>
  <c r="AS52" i="119"/>
  <c r="AQ52" i="119"/>
  <c r="AP52" i="119"/>
  <c r="AF52" i="119"/>
  <c r="AG52" i="119" s="1"/>
  <c r="AD52" i="119"/>
  <c r="AC52" i="119"/>
  <c r="X52" i="119"/>
  <c r="W52" i="119"/>
  <c r="T52" i="119"/>
  <c r="U52" i="119" s="1"/>
  <c r="R52" i="119"/>
  <c r="Q52" i="119"/>
  <c r="O52" i="119"/>
  <c r="N52" i="119"/>
  <c r="I52" i="119"/>
  <c r="J52" i="119" s="1"/>
  <c r="H52" i="119"/>
  <c r="E52" i="119"/>
  <c r="DK51" i="119"/>
  <c r="DJ51" i="119"/>
  <c r="DG51" i="119"/>
  <c r="DH51" i="119" s="1"/>
  <c r="DE51" i="119"/>
  <c r="DD51" i="119"/>
  <c r="DB51" i="119"/>
  <c r="DA51" i="119"/>
  <c r="CX51" i="119"/>
  <c r="CY51" i="119" s="1"/>
  <c r="CV51" i="119"/>
  <c r="CU51" i="119"/>
  <c r="CC51" i="119"/>
  <c r="CB51" i="119"/>
  <c r="BY51" i="119"/>
  <c r="BZ51" i="119" s="1"/>
  <c r="BM51" i="119"/>
  <c r="BL51" i="119"/>
  <c r="BE51" i="119"/>
  <c r="BD51" i="119"/>
  <c r="BC51" i="119"/>
  <c r="BB51" i="119"/>
  <c r="AT51" i="119"/>
  <c r="AS51" i="119"/>
  <c r="AP51" i="119"/>
  <c r="AQ51" i="119" s="1"/>
  <c r="AG51" i="119"/>
  <c r="AF51" i="119"/>
  <c r="AD51" i="119"/>
  <c r="AC51" i="119"/>
  <c r="W51" i="119"/>
  <c r="X51" i="119" s="1"/>
  <c r="U51" i="119"/>
  <c r="T51" i="119"/>
  <c r="R51" i="119"/>
  <c r="Q51" i="119"/>
  <c r="N51" i="119"/>
  <c r="O51" i="119" s="1"/>
  <c r="I51" i="119"/>
  <c r="H51" i="119"/>
  <c r="J51" i="119" s="1"/>
  <c r="E51" i="119"/>
  <c r="DJ50" i="119"/>
  <c r="DK50" i="119" s="1"/>
  <c r="DH50" i="119"/>
  <c r="DG50" i="119"/>
  <c r="DE50" i="119"/>
  <c r="DD50" i="119"/>
  <c r="DA50" i="119"/>
  <c r="DB50" i="119" s="1"/>
  <c r="CY50" i="119"/>
  <c r="CX50" i="119"/>
  <c r="CV50" i="119"/>
  <c r="CU50" i="119"/>
  <c r="CB50" i="119"/>
  <c r="CC50" i="119" s="1"/>
  <c r="BZ50" i="119"/>
  <c r="BY50" i="119"/>
  <c r="BM50" i="119"/>
  <c r="BL50" i="119"/>
  <c r="BF50" i="119"/>
  <c r="BG50" i="119" s="1"/>
  <c r="BE50" i="119"/>
  <c r="BD50" i="119"/>
  <c r="BC50" i="119"/>
  <c r="BB50" i="119"/>
  <c r="AS50" i="119"/>
  <c r="AT50" i="119" s="1"/>
  <c r="AQ50" i="119"/>
  <c r="AP50" i="119"/>
  <c r="AG50" i="119"/>
  <c r="AF50" i="119"/>
  <c r="AC50" i="119"/>
  <c r="AD50" i="119" s="1"/>
  <c r="X50" i="119"/>
  <c r="W50" i="119"/>
  <c r="U50" i="119"/>
  <c r="T50" i="119"/>
  <c r="Q50" i="119"/>
  <c r="R50" i="119" s="1"/>
  <c r="O50" i="119"/>
  <c r="N50" i="119"/>
  <c r="J50" i="119"/>
  <c r="I50" i="119"/>
  <c r="H50" i="119"/>
  <c r="E50" i="119"/>
  <c r="DK49" i="119"/>
  <c r="DJ49" i="119"/>
  <c r="DH49" i="119"/>
  <c r="DG49" i="119"/>
  <c r="DD49" i="119"/>
  <c r="DE49" i="119" s="1"/>
  <c r="DB49" i="119"/>
  <c r="DA49" i="119"/>
  <c r="CY49" i="119"/>
  <c r="CX49" i="119"/>
  <c r="CU49" i="119"/>
  <c r="CV49" i="119" s="1"/>
  <c r="CC49" i="119"/>
  <c r="CB49" i="119"/>
  <c r="BZ49" i="119"/>
  <c r="BY49" i="119"/>
  <c r="BL49" i="119"/>
  <c r="BM49" i="119" s="1"/>
  <c r="BE49" i="119"/>
  <c r="BD49" i="119"/>
  <c r="BC49" i="119"/>
  <c r="BB49" i="119"/>
  <c r="AT49" i="119"/>
  <c r="AS49" i="119"/>
  <c r="AQ49" i="119"/>
  <c r="AP49" i="119"/>
  <c r="AF49" i="119"/>
  <c r="AG49" i="119" s="1"/>
  <c r="AD49" i="119"/>
  <c r="AC49" i="119"/>
  <c r="X49" i="119"/>
  <c r="W49" i="119"/>
  <c r="T49" i="119"/>
  <c r="U49" i="119" s="1"/>
  <c r="R49" i="119"/>
  <c r="Q49" i="119"/>
  <c r="O49" i="119"/>
  <c r="N49" i="119"/>
  <c r="I49" i="119"/>
  <c r="J49" i="119" s="1"/>
  <c r="H49" i="119"/>
  <c r="E49" i="119"/>
  <c r="DK48" i="119"/>
  <c r="DJ48" i="119"/>
  <c r="DG48" i="119"/>
  <c r="DH48" i="119" s="1"/>
  <c r="DE48" i="119"/>
  <c r="DD48" i="119"/>
  <c r="DB48" i="119"/>
  <c r="DA48" i="119"/>
  <c r="CX48" i="119"/>
  <c r="CY48" i="119" s="1"/>
  <c r="CV48" i="119"/>
  <c r="CU48" i="119"/>
  <c r="CC48" i="119"/>
  <c r="CB48" i="119"/>
  <c r="BY48" i="119"/>
  <c r="BZ48" i="119" s="1"/>
  <c r="BM48" i="119"/>
  <c r="BL48" i="119"/>
  <c r="BG48" i="119"/>
  <c r="BE48" i="119"/>
  <c r="BD48" i="119"/>
  <c r="BC48" i="119"/>
  <c r="BB48" i="119"/>
  <c r="BF48" i="119" s="1"/>
  <c r="AT48" i="119"/>
  <c r="AS48" i="119"/>
  <c r="AP48" i="119"/>
  <c r="AQ48" i="119" s="1"/>
  <c r="AG48" i="119"/>
  <c r="AF48" i="119"/>
  <c r="AD48" i="119"/>
  <c r="AC48" i="119"/>
  <c r="W48" i="119"/>
  <c r="X48" i="119" s="1"/>
  <c r="U48" i="119"/>
  <c r="T48" i="119"/>
  <c r="R48" i="119"/>
  <c r="Q48" i="119"/>
  <c r="N48" i="119"/>
  <c r="O48" i="119" s="1"/>
  <c r="J48" i="119"/>
  <c r="I48" i="119"/>
  <c r="H48" i="119"/>
  <c r="E48" i="119"/>
  <c r="DJ47" i="119"/>
  <c r="DK47" i="119" s="1"/>
  <c r="DH47" i="119"/>
  <c r="DG47" i="119"/>
  <c r="DE47" i="119"/>
  <c r="DD47" i="119"/>
  <c r="DA47" i="119"/>
  <c r="DB47" i="119" s="1"/>
  <c r="CY47" i="119"/>
  <c r="CX47" i="119"/>
  <c r="CV47" i="119"/>
  <c r="CU47" i="119"/>
  <c r="CB47" i="119"/>
  <c r="CC47" i="119" s="1"/>
  <c r="BZ47" i="119"/>
  <c r="BY47" i="119"/>
  <c r="BM47" i="119"/>
  <c r="BL47" i="119"/>
  <c r="BI47" i="119"/>
  <c r="BJ47" i="119" s="1"/>
  <c r="BE47" i="119"/>
  <c r="BD47" i="119"/>
  <c r="BC47" i="119"/>
  <c r="BB47" i="119"/>
  <c r="BF47" i="119" s="1"/>
  <c r="BG47" i="119" s="1"/>
  <c r="AV47" i="119"/>
  <c r="AS47" i="119"/>
  <c r="AT47" i="119" s="1"/>
  <c r="AP47" i="119"/>
  <c r="AQ47" i="119" s="1"/>
  <c r="AI47" i="119"/>
  <c r="AJ47" i="119" s="1"/>
  <c r="AF47" i="119"/>
  <c r="AG47" i="119" s="1"/>
  <c r="AC47" i="119"/>
  <c r="AD47" i="119" s="1"/>
  <c r="W47" i="119"/>
  <c r="X47" i="119" s="1"/>
  <c r="T47" i="119"/>
  <c r="U47" i="119" s="1"/>
  <c r="Q47" i="119"/>
  <c r="R47" i="119" s="1"/>
  <c r="O47" i="119"/>
  <c r="N47" i="119"/>
  <c r="I47" i="119"/>
  <c r="J47" i="119" s="1"/>
  <c r="H47" i="119"/>
  <c r="E47" i="119"/>
  <c r="DJ46" i="119"/>
  <c r="DK46" i="119" s="1"/>
  <c r="DG46" i="119"/>
  <c r="DH46" i="119" s="1"/>
  <c r="DD46" i="119"/>
  <c r="DE46" i="119" s="1"/>
  <c r="DA46" i="119"/>
  <c r="DB46" i="119" s="1"/>
  <c r="CX46" i="119"/>
  <c r="CY46" i="119" s="1"/>
  <c r="CU46" i="119"/>
  <c r="CV46" i="119" s="1"/>
  <c r="CC46" i="119"/>
  <c r="CB46" i="119"/>
  <c r="BY46" i="119"/>
  <c r="BZ46" i="119" s="1"/>
  <c r="BL46" i="119"/>
  <c r="BM46" i="119" s="1"/>
  <c r="BF46" i="119"/>
  <c r="BG46" i="119" s="1"/>
  <c r="BE46" i="119"/>
  <c r="BD46" i="119"/>
  <c r="BC46" i="119"/>
  <c r="BB46" i="119"/>
  <c r="AS46" i="119"/>
  <c r="AT46" i="119" s="1"/>
  <c r="AP46" i="119"/>
  <c r="AQ46" i="119" s="1"/>
  <c r="AF46" i="119"/>
  <c r="AG46" i="119" s="1"/>
  <c r="AC46" i="119"/>
  <c r="AD46" i="119" s="1"/>
  <c r="W46" i="119"/>
  <c r="X46" i="119" s="1"/>
  <c r="T46" i="119"/>
  <c r="U46" i="119" s="1"/>
  <c r="R46" i="119"/>
  <c r="Q46" i="119"/>
  <c r="N46" i="119"/>
  <c r="O46" i="119" s="1"/>
  <c r="I46" i="119"/>
  <c r="H46" i="119"/>
  <c r="E46" i="119"/>
  <c r="DJ45" i="119"/>
  <c r="DK45" i="119" s="1"/>
  <c r="DG45" i="119"/>
  <c r="DH45" i="119" s="1"/>
  <c r="DD45" i="119"/>
  <c r="DE45" i="119" s="1"/>
  <c r="DA45" i="119"/>
  <c r="DB45" i="119" s="1"/>
  <c r="CX45" i="119"/>
  <c r="CY45" i="119" s="1"/>
  <c r="CV45" i="119"/>
  <c r="CU45" i="119"/>
  <c r="CB45" i="119"/>
  <c r="CC45" i="119" s="1"/>
  <c r="BY45" i="119"/>
  <c r="BZ45" i="119" s="1"/>
  <c r="BL45" i="119"/>
  <c r="BM45" i="119" s="1"/>
  <c r="BE45" i="119"/>
  <c r="BD45" i="119"/>
  <c r="BC45" i="119"/>
  <c r="BB45" i="119"/>
  <c r="BF45" i="119" s="1"/>
  <c r="BG45" i="119" s="1"/>
  <c r="AT45" i="119"/>
  <c r="AS45" i="119"/>
  <c r="AP45" i="119"/>
  <c r="AQ45" i="119" s="1"/>
  <c r="AF45" i="119"/>
  <c r="AG45" i="119" s="1"/>
  <c r="AD45" i="119"/>
  <c r="AC45" i="119"/>
  <c r="W45" i="119"/>
  <c r="X45" i="119" s="1"/>
  <c r="T45" i="119"/>
  <c r="U45" i="119" s="1"/>
  <c r="Q45" i="119"/>
  <c r="R45" i="119" s="1"/>
  <c r="N45" i="119"/>
  <c r="O45" i="119" s="1"/>
  <c r="I45" i="119"/>
  <c r="J45" i="119" s="1"/>
  <c r="H45" i="119"/>
  <c r="E45" i="119"/>
  <c r="DJ44" i="119"/>
  <c r="DK44" i="119" s="1"/>
  <c r="DH44" i="119"/>
  <c r="DG44" i="119"/>
  <c r="DD44" i="119"/>
  <c r="DE44" i="119" s="1"/>
  <c r="DA44" i="119"/>
  <c r="DB44" i="119" s="1"/>
  <c r="CY44" i="119"/>
  <c r="CX44" i="119"/>
  <c r="CU44" i="119"/>
  <c r="CV44" i="119" s="1"/>
  <c r="CB44" i="119"/>
  <c r="CC44" i="119" s="1"/>
  <c r="BY44" i="119"/>
  <c r="BZ44" i="119" s="1"/>
  <c r="BM44" i="119"/>
  <c r="BL44" i="119"/>
  <c r="BE44" i="119"/>
  <c r="BD44" i="119"/>
  <c r="BC44" i="119"/>
  <c r="BB44" i="119"/>
  <c r="BF44" i="119" s="1"/>
  <c r="BG44" i="119" s="1"/>
  <c r="AS44" i="119"/>
  <c r="AT44" i="119" s="1"/>
  <c r="AP44" i="119"/>
  <c r="AQ44" i="119" s="1"/>
  <c r="AF44" i="119"/>
  <c r="AG44" i="119" s="1"/>
  <c r="AC44" i="119"/>
  <c r="AD44" i="119" s="1"/>
  <c r="X44" i="119"/>
  <c r="W44" i="119"/>
  <c r="T44" i="119"/>
  <c r="U44" i="119" s="1"/>
  <c r="Q44" i="119"/>
  <c r="R44" i="119" s="1"/>
  <c r="O44" i="119"/>
  <c r="N44" i="119"/>
  <c r="I44" i="119"/>
  <c r="J44" i="119" s="1"/>
  <c r="H44" i="119"/>
  <c r="E44" i="119"/>
  <c r="DK43" i="119"/>
  <c r="DJ43" i="119"/>
  <c r="DG43" i="119"/>
  <c r="DH43" i="119" s="1"/>
  <c r="DD43" i="119"/>
  <c r="DE43" i="119" s="1"/>
  <c r="DA43" i="119"/>
  <c r="DB43" i="119" s="1"/>
  <c r="CY43" i="119"/>
  <c r="CX43" i="119"/>
  <c r="CU43" i="119"/>
  <c r="CV43" i="119" s="1"/>
  <c r="CB43" i="119"/>
  <c r="CC43" i="119" s="1"/>
  <c r="BZ43" i="119"/>
  <c r="BY43" i="119"/>
  <c r="BL43" i="119"/>
  <c r="BM43" i="119" s="1"/>
  <c r="BE43" i="119"/>
  <c r="BD43" i="119"/>
  <c r="BF43" i="119" s="1"/>
  <c r="BG43" i="119" s="1"/>
  <c r="BC43" i="119"/>
  <c r="BB43" i="119"/>
  <c r="AS43" i="119"/>
  <c r="AT43" i="119" s="1"/>
  <c r="AP43" i="119"/>
  <c r="AQ43" i="119" s="1"/>
  <c r="AF43" i="119"/>
  <c r="AG43" i="119" s="1"/>
  <c r="AC43" i="119"/>
  <c r="AD43" i="119" s="1"/>
  <c r="W43" i="119"/>
  <c r="X43" i="119" s="1"/>
  <c r="T43" i="119"/>
  <c r="U43" i="119" s="1"/>
  <c r="R43" i="119"/>
  <c r="Q43" i="119"/>
  <c r="N43" i="119"/>
  <c r="O43" i="119" s="1"/>
  <c r="I43" i="119"/>
  <c r="H43" i="119"/>
  <c r="E43" i="119"/>
  <c r="DJ42" i="119"/>
  <c r="DK42" i="119" s="1"/>
  <c r="DG42" i="119"/>
  <c r="DH42" i="119" s="1"/>
  <c r="DD42" i="119"/>
  <c r="DE42" i="119" s="1"/>
  <c r="DB42" i="119"/>
  <c r="DA42" i="119"/>
  <c r="CX42" i="119"/>
  <c r="CY42" i="119" s="1"/>
  <c r="CU42" i="119"/>
  <c r="CV42" i="119" s="1"/>
  <c r="CC42" i="119"/>
  <c r="CB42" i="119"/>
  <c r="BY42" i="119"/>
  <c r="BZ42" i="119" s="1"/>
  <c r="BL42" i="119"/>
  <c r="BM42" i="119" s="1"/>
  <c r="BF42" i="119"/>
  <c r="BG42" i="119" s="1"/>
  <c r="BE42" i="119"/>
  <c r="BD42" i="119"/>
  <c r="BC42" i="119"/>
  <c r="BB42" i="119"/>
  <c r="AS42" i="119"/>
  <c r="AT42" i="119" s="1"/>
  <c r="AP42" i="119"/>
  <c r="AQ42" i="119" s="1"/>
  <c r="AF42" i="119"/>
  <c r="AG42" i="119" s="1"/>
  <c r="AC42" i="119"/>
  <c r="AD42" i="119" s="1"/>
  <c r="W42" i="119"/>
  <c r="X42" i="119" s="1"/>
  <c r="U42" i="119"/>
  <c r="T42" i="119"/>
  <c r="Q42" i="119"/>
  <c r="R42" i="119" s="1"/>
  <c r="N42" i="119"/>
  <c r="O42" i="119" s="1"/>
  <c r="J42" i="119"/>
  <c r="I42" i="119"/>
  <c r="H42" i="119"/>
  <c r="E42" i="119"/>
  <c r="DJ41" i="119"/>
  <c r="DK41" i="119" s="1"/>
  <c r="DG41" i="119"/>
  <c r="DH41" i="119" s="1"/>
  <c r="DE41" i="119"/>
  <c r="DD41" i="119"/>
  <c r="DA41" i="119"/>
  <c r="DB41" i="119" s="1"/>
  <c r="CX41" i="119"/>
  <c r="CY41" i="119" s="1"/>
  <c r="CV41" i="119"/>
  <c r="CU41" i="119"/>
  <c r="CB41" i="119"/>
  <c r="CC41" i="119" s="1"/>
  <c r="BY41" i="119"/>
  <c r="BZ41" i="119" s="1"/>
  <c r="BL41" i="119"/>
  <c r="BM41" i="119" s="1"/>
  <c r="BE41" i="119"/>
  <c r="BD41" i="119"/>
  <c r="BC41" i="119"/>
  <c r="BB41" i="119"/>
  <c r="AS41" i="119"/>
  <c r="AT41" i="119" s="1"/>
  <c r="AQ41" i="119"/>
  <c r="AP41" i="119"/>
  <c r="AG41" i="119"/>
  <c r="AF41" i="119"/>
  <c r="AC41" i="119"/>
  <c r="AD41" i="119" s="1"/>
  <c r="W41" i="119"/>
  <c r="X41" i="119" s="1"/>
  <c r="U41" i="119"/>
  <c r="T41" i="119"/>
  <c r="Q41" i="119"/>
  <c r="R41" i="119" s="1"/>
  <c r="N41" i="119"/>
  <c r="O41" i="119" s="1"/>
  <c r="J41" i="119"/>
  <c r="I41" i="119"/>
  <c r="H41" i="119"/>
  <c r="E41" i="119"/>
  <c r="DJ40" i="119"/>
  <c r="DK40" i="119" s="1"/>
  <c r="DH40" i="119"/>
  <c r="DG40" i="119"/>
  <c r="DD40" i="119"/>
  <c r="DE40" i="119" s="1"/>
  <c r="DA40" i="119"/>
  <c r="DB40" i="119" s="1"/>
  <c r="CX40" i="119"/>
  <c r="CY40" i="119" s="1"/>
  <c r="CU40" i="119"/>
  <c r="CV40" i="119" s="1"/>
  <c r="CC40" i="119"/>
  <c r="CB40" i="119"/>
  <c r="BY40" i="119"/>
  <c r="BZ40" i="119" s="1"/>
  <c r="BL40" i="119"/>
  <c r="BM40" i="119" s="1"/>
  <c r="BE40" i="119"/>
  <c r="BD40" i="119"/>
  <c r="BF40" i="119" s="1"/>
  <c r="BG40" i="119" s="1"/>
  <c r="BC40" i="119"/>
  <c r="BB40" i="119"/>
  <c r="AT40" i="119"/>
  <c r="AS40" i="119"/>
  <c r="AP40" i="119"/>
  <c r="AQ40" i="119" s="1"/>
  <c r="AF40" i="119"/>
  <c r="AG40" i="119" s="1"/>
  <c r="AD40" i="119"/>
  <c r="AC40" i="119"/>
  <c r="X40" i="119"/>
  <c r="W40" i="119"/>
  <c r="T40" i="119"/>
  <c r="U40" i="119" s="1"/>
  <c r="Q40" i="119"/>
  <c r="R40" i="119" s="1"/>
  <c r="O40" i="119"/>
  <c r="N40" i="119"/>
  <c r="I40" i="119"/>
  <c r="H40" i="119"/>
  <c r="E40" i="119"/>
  <c r="DK39" i="119"/>
  <c r="DJ39" i="119"/>
  <c r="DG39" i="119"/>
  <c r="DH39" i="119" s="1"/>
  <c r="DD39" i="119"/>
  <c r="DE39" i="119" s="1"/>
  <c r="DA39" i="119"/>
  <c r="DB39" i="119" s="1"/>
  <c r="CX39" i="119"/>
  <c r="CY39" i="119" s="1"/>
  <c r="CV39" i="119"/>
  <c r="CU39" i="119"/>
  <c r="CB39" i="119"/>
  <c r="CC39" i="119" s="1"/>
  <c r="BY39" i="119"/>
  <c r="BZ39" i="119" s="1"/>
  <c r="BM39" i="119"/>
  <c r="BL39" i="119"/>
  <c r="BE39" i="119"/>
  <c r="BD39" i="119"/>
  <c r="BC39" i="119"/>
  <c r="BF39" i="119" s="1"/>
  <c r="BG39" i="119" s="1"/>
  <c r="BB39" i="119"/>
  <c r="AS39" i="119"/>
  <c r="AT39" i="119" s="1"/>
  <c r="AP39" i="119"/>
  <c r="AQ39" i="119" s="1"/>
  <c r="AG39" i="119"/>
  <c r="AF39" i="119"/>
  <c r="AD39" i="119"/>
  <c r="AC39" i="119"/>
  <c r="W39" i="119"/>
  <c r="X39" i="119" s="1"/>
  <c r="T39" i="119"/>
  <c r="U39" i="119" s="1"/>
  <c r="R39" i="119"/>
  <c r="Q39" i="119"/>
  <c r="N39" i="119"/>
  <c r="O39" i="119" s="1"/>
  <c r="I39" i="119"/>
  <c r="J39" i="119" s="1"/>
  <c r="H39" i="119"/>
  <c r="E39" i="119"/>
  <c r="DJ38" i="119"/>
  <c r="DK38" i="119" s="1"/>
  <c r="DG38" i="119"/>
  <c r="DH38" i="119" s="1"/>
  <c r="DD38" i="119"/>
  <c r="DE38" i="119" s="1"/>
  <c r="DA38" i="119"/>
  <c r="DB38" i="119" s="1"/>
  <c r="CY38" i="119"/>
  <c r="CX38" i="119"/>
  <c r="CU38" i="119"/>
  <c r="CV38" i="119" s="1"/>
  <c r="CB38" i="119"/>
  <c r="CC38" i="119" s="1"/>
  <c r="BZ38" i="119"/>
  <c r="BY38" i="119"/>
  <c r="BL38" i="119"/>
  <c r="BM38" i="119" s="1"/>
  <c r="BE38" i="119"/>
  <c r="BD38" i="119"/>
  <c r="BF38" i="119" s="1"/>
  <c r="BG38" i="119" s="1"/>
  <c r="BC38" i="119"/>
  <c r="BB38" i="119"/>
  <c r="AS38" i="119"/>
  <c r="AT38" i="119" s="1"/>
  <c r="AP38" i="119"/>
  <c r="AQ38" i="119" s="1"/>
  <c r="AG38" i="119"/>
  <c r="AF38" i="119"/>
  <c r="AC38" i="119"/>
  <c r="AD38" i="119" s="1"/>
  <c r="W38" i="119"/>
  <c r="X38" i="119" s="1"/>
  <c r="U38" i="119"/>
  <c r="T38" i="119"/>
  <c r="Q38" i="119"/>
  <c r="R38" i="119" s="1"/>
  <c r="N38" i="119"/>
  <c r="O38" i="119" s="1"/>
  <c r="I38" i="119"/>
  <c r="J38" i="119" s="1"/>
  <c r="H38" i="119"/>
  <c r="E38" i="119"/>
  <c r="DJ37" i="119"/>
  <c r="DK37" i="119" s="1"/>
  <c r="DG37" i="119"/>
  <c r="DH37" i="119" s="1"/>
  <c r="DD37" i="119"/>
  <c r="DE37" i="119" s="1"/>
  <c r="DB37" i="119"/>
  <c r="DA37" i="119"/>
  <c r="CX37" i="119"/>
  <c r="CY37" i="119" s="1"/>
  <c r="CU37" i="119"/>
  <c r="CV37" i="119" s="1"/>
  <c r="CC37" i="119"/>
  <c r="CB37" i="119"/>
  <c r="BY37" i="119"/>
  <c r="BZ37" i="119" s="1"/>
  <c r="BL37" i="119"/>
  <c r="BM37" i="119" s="1"/>
  <c r="BG37" i="119"/>
  <c r="BF37" i="119"/>
  <c r="BE37" i="119"/>
  <c r="BD37" i="119"/>
  <c r="BC37" i="119"/>
  <c r="BB37" i="119"/>
  <c r="AT37" i="119"/>
  <c r="AS37" i="119"/>
  <c r="AQ37" i="119"/>
  <c r="AP37" i="119"/>
  <c r="AF37" i="119"/>
  <c r="AG37" i="119" s="1"/>
  <c r="AC37" i="119"/>
  <c r="AD37" i="119" s="1"/>
  <c r="X37" i="119"/>
  <c r="W37" i="119"/>
  <c r="T37" i="119"/>
  <c r="U37" i="119" s="1"/>
  <c r="Q37" i="119"/>
  <c r="R37" i="119" s="1"/>
  <c r="O37" i="119"/>
  <c r="N37" i="119"/>
  <c r="I37" i="119"/>
  <c r="J37" i="119" s="1"/>
  <c r="H37" i="119"/>
  <c r="E37" i="119"/>
  <c r="DJ36" i="119"/>
  <c r="DK36" i="119" s="1"/>
  <c r="DG36" i="119"/>
  <c r="DH36" i="119" s="1"/>
  <c r="DE36" i="119"/>
  <c r="DD36" i="119"/>
  <c r="DA36" i="119"/>
  <c r="DB36" i="119" s="1"/>
  <c r="CX36" i="119"/>
  <c r="CY36" i="119" s="1"/>
  <c r="CV36" i="119"/>
  <c r="CU36" i="119"/>
  <c r="CB36" i="119"/>
  <c r="CC36" i="119" s="1"/>
  <c r="BY36" i="119"/>
  <c r="BZ36" i="119" s="1"/>
  <c r="BM36" i="119"/>
  <c r="BL36" i="119"/>
  <c r="BE36" i="119"/>
  <c r="BD36" i="119"/>
  <c r="BC36" i="119"/>
  <c r="BB36" i="119"/>
  <c r="BF36" i="119" s="1"/>
  <c r="BG36" i="119" s="1"/>
  <c r="AT36" i="119"/>
  <c r="AS36" i="119"/>
  <c r="AP36" i="119"/>
  <c r="AQ36" i="119" s="1"/>
  <c r="AF36" i="119"/>
  <c r="AG36" i="119" s="1"/>
  <c r="AD36" i="119"/>
  <c r="AC36" i="119"/>
  <c r="W36" i="119"/>
  <c r="X36" i="119" s="1"/>
  <c r="T36" i="119"/>
  <c r="U36" i="119" s="1"/>
  <c r="R36" i="119"/>
  <c r="Q36" i="119"/>
  <c r="N36" i="119"/>
  <c r="I36" i="119"/>
  <c r="J36" i="119" s="1"/>
  <c r="H36" i="119"/>
  <c r="E36" i="119"/>
  <c r="DK35" i="119"/>
  <c r="DJ35" i="119"/>
  <c r="DG35" i="119"/>
  <c r="DH35" i="119" s="1"/>
  <c r="DD35" i="119"/>
  <c r="DE35" i="119" s="1"/>
  <c r="DB35" i="119"/>
  <c r="DA35" i="119"/>
  <c r="CX35" i="119"/>
  <c r="CY35" i="119" s="1"/>
  <c r="CU35" i="119"/>
  <c r="CV35" i="119" s="1"/>
  <c r="CC35" i="119"/>
  <c r="CB35" i="119"/>
  <c r="BY35" i="119"/>
  <c r="BZ35" i="119" s="1"/>
  <c r="BL35" i="119"/>
  <c r="BM35" i="119" s="1"/>
  <c r="BG35" i="119"/>
  <c r="BE35" i="119"/>
  <c r="BD35" i="119"/>
  <c r="BC35" i="119"/>
  <c r="BB35" i="119"/>
  <c r="BF35" i="119" s="1"/>
  <c r="AT35" i="119"/>
  <c r="AS35" i="119"/>
  <c r="AQ35" i="119"/>
  <c r="AP35" i="119"/>
  <c r="AF35" i="119"/>
  <c r="AG35" i="119" s="1"/>
  <c r="AD35" i="119"/>
  <c r="AC35" i="119"/>
  <c r="X35" i="119"/>
  <c r="W35" i="119"/>
  <c r="T35" i="119"/>
  <c r="U35" i="119" s="1"/>
  <c r="R35" i="119"/>
  <c r="Q35" i="119"/>
  <c r="N35" i="119"/>
  <c r="I35" i="119"/>
  <c r="J35" i="119" s="1"/>
  <c r="H35" i="119"/>
  <c r="E35" i="119"/>
  <c r="DJ34" i="119"/>
  <c r="DK34" i="119" s="1"/>
  <c r="DH34" i="119"/>
  <c r="DG34" i="119"/>
  <c r="DD34" i="119"/>
  <c r="DE34" i="119" s="1"/>
  <c r="DA34" i="119"/>
  <c r="DB34" i="119" s="1"/>
  <c r="CY34" i="119"/>
  <c r="CX34" i="119"/>
  <c r="CU34" i="119"/>
  <c r="CV34" i="119" s="1"/>
  <c r="CB34" i="119"/>
  <c r="CC34" i="119" s="1"/>
  <c r="BZ34" i="119"/>
  <c r="BY34" i="119"/>
  <c r="BM34" i="119"/>
  <c r="BL34" i="119"/>
  <c r="BE34" i="119"/>
  <c r="BD34" i="119"/>
  <c r="BC34" i="119"/>
  <c r="BF34" i="119" s="1"/>
  <c r="BG34" i="119" s="1"/>
  <c r="BB34" i="119"/>
  <c r="AS34" i="119"/>
  <c r="AT34" i="119" s="1"/>
  <c r="AP34" i="119"/>
  <c r="AQ34" i="119" s="1"/>
  <c r="AG34" i="119"/>
  <c r="AF34" i="119"/>
  <c r="AC34" i="119"/>
  <c r="AD34" i="119" s="1"/>
  <c r="W34" i="119"/>
  <c r="X34" i="119" s="1"/>
  <c r="T34" i="119"/>
  <c r="U34" i="119" s="1"/>
  <c r="Q34" i="119"/>
  <c r="R34" i="119" s="1"/>
  <c r="O34" i="119"/>
  <c r="N34" i="119"/>
  <c r="I34" i="119"/>
  <c r="J34" i="119" s="1"/>
  <c r="H34" i="119"/>
  <c r="E34" i="119"/>
  <c r="DK33" i="119"/>
  <c r="DJ33" i="119"/>
  <c r="DG33" i="119"/>
  <c r="DH33" i="119" s="1"/>
  <c r="DD33" i="119"/>
  <c r="DE33" i="119" s="1"/>
  <c r="DB33" i="119"/>
  <c r="DA33" i="119"/>
  <c r="CX33" i="119"/>
  <c r="CY33" i="119" s="1"/>
  <c r="CU33" i="119"/>
  <c r="CV33" i="119" s="1"/>
  <c r="CC33" i="119"/>
  <c r="CB33" i="119"/>
  <c r="BZ33" i="119"/>
  <c r="BY33" i="119"/>
  <c r="BL33" i="119"/>
  <c r="BM33" i="119" s="1"/>
  <c r="BF33" i="119"/>
  <c r="BG33" i="119" s="1"/>
  <c r="BE33" i="119"/>
  <c r="BD33" i="119"/>
  <c r="BC33" i="119"/>
  <c r="BB33" i="119"/>
  <c r="AS33" i="119"/>
  <c r="AT33" i="119" s="1"/>
  <c r="AQ33" i="119"/>
  <c r="AP33" i="119"/>
  <c r="AF33" i="119"/>
  <c r="AG33" i="119" s="1"/>
  <c r="AC33" i="119"/>
  <c r="AD33" i="119" s="1"/>
  <c r="X33" i="119"/>
  <c r="W33" i="119"/>
  <c r="T33" i="119"/>
  <c r="U33" i="119" s="1"/>
  <c r="Q33" i="119"/>
  <c r="R33" i="119" s="1"/>
  <c r="N33" i="119"/>
  <c r="O33" i="119" s="1"/>
  <c r="I33" i="119"/>
  <c r="J33" i="119" s="1"/>
  <c r="H33" i="119"/>
  <c r="E33" i="119"/>
  <c r="DJ32" i="119"/>
  <c r="DK32" i="119" s="1"/>
  <c r="DG32" i="119"/>
  <c r="DH32" i="119" s="1"/>
  <c r="DE32" i="119"/>
  <c r="DD32" i="119"/>
  <c r="DA32" i="119"/>
  <c r="DB32" i="119" s="1"/>
  <c r="CX32" i="119"/>
  <c r="CY32" i="119" s="1"/>
  <c r="CV32" i="119"/>
  <c r="CU32" i="119"/>
  <c r="CC32" i="119"/>
  <c r="CB32" i="119"/>
  <c r="BY32" i="119"/>
  <c r="BZ32" i="119" s="1"/>
  <c r="BL32" i="119"/>
  <c r="BM32" i="119" s="1"/>
  <c r="BE32" i="119"/>
  <c r="BD32" i="119"/>
  <c r="BC32" i="119"/>
  <c r="BB32" i="119"/>
  <c r="BF32" i="119" s="1"/>
  <c r="BG32" i="119" s="1"/>
  <c r="AT32" i="119"/>
  <c r="AS32" i="119"/>
  <c r="AP32" i="119"/>
  <c r="AQ32" i="119" s="1"/>
  <c r="AF32" i="119"/>
  <c r="AG32" i="119" s="1"/>
  <c r="AD32" i="119"/>
  <c r="AC32" i="119"/>
  <c r="W32" i="119"/>
  <c r="X32" i="119" s="1"/>
  <c r="T32" i="119"/>
  <c r="U32" i="119" s="1"/>
  <c r="Q32" i="119"/>
  <c r="R32" i="119" s="1"/>
  <c r="N32" i="119"/>
  <c r="O32" i="119" s="1"/>
  <c r="I32" i="119"/>
  <c r="H32" i="119"/>
  <c r="J32" i="119" s="1"/>
  <c r="E32" i="119"/>
  <c r="DJ31" i="119"/>
  <c r="DK31" i="119" s="1"/>
  <c r="DH31" i="119"/>
  <c r="DG31" i="119"/>
  <c r="DD31" i="119"/>
  <c r="DE31" i="119" s="1"/>
  <c r="DA31" i="119"/>
  <c r="DB31" i="119" s="1"/>
  <c r="CY31" i="119"/>
  <c r="CX31" i="119"/>
  <c r="CV31" i="119"/>
  <c r="CU31" i="119"/>
  <c r="CB31" i="119"/>
  <c r="CC31" i="119" s="1"/>
  <c r="BY31" i="119"/>
  <c r="BZ31" i="119" s="1"/>
  <c r="BM31" i="119"/>
  <c r="BL31" i="119"/>
  <c r="BE31" i="119"/>
  <c r="BD31" i="119"/>
  <c r="BC31" i="119"/>
  <c r="BB31" i="119"/>
  <c r="BF31" i="119" s="1"/>
  <c r="BG31" i="119" s="1"/>
  <c r="AS31" i="119"/>
  <c r="AT31" i="119" s="1"/>
  <c r="AP31" i="119"/>
  <c r="AQ31" i="119" s="1"/>
  <c r="AF31" i="119"/>
  <c r="AG31" i="119" s="1"/>
  <c r="AC31" i="119"/>
  <c r="AD31" i="119" s="1"/>
  <c r="X31" i="119"/>
  <c r="W31" i="119"/>
  <c r="T31" i="119"/>
  <c r="U31" i="119" s="1"/>
  <c r="Q31" i="119"/>
  <c r="R31" i="119" s="1"/>
  <c r="O31" i="119"/>
  <c r="N31" i="119"/>
  <c r="I31" i="119"/>
  <c r="J31" i="119" s="1"/>
  <c r="H31" i="119"/>
  <c r="E31" i="119"/>
  <c r="DK30" i="119"/>
  <c r="DJ30" i="119"/>
  <c r="DG30" i="119"/>
  <c r="DH30" i="119" s="1"/>
  <c r="DD30" i="119"/>
  <c r="DE30" i="119" s="1"/>
  <c r="DA30" i="119"/>
  <c r="DB30" i="119" s="1"/>
  <c r="CY30" i="119"/>
  <c r="CX30" i="119"/>
  <c r="CU30" i="119"/>
  <c r="CV30" i="119" s="1"/>
  <c r="CB30" i="119"/>
  <c r="CC30" i="119" s="1"/>
  <c r="BZ30" i="119"/>
  <c r="BY30" i="119"/>
  <c r="BL30" i="119"/>
  <c r="BM30" i="119" s="1"/>
  <c r="BE30" i="119"/>
  <c r="BD30" i="119"/>
  <c r="BF30" i="119" s="1"/>
  <c r="BG30" i="119" s="1"/>
  <c r="BC30" i="119"/>
  <c r="BB30" i="119"/>
  <c r="AS30" i="119"/>
  <c r="AT30" i="119" s="1"/>
  <c r="AP30" i="119"/>
  <c r="AQ30" i="119" s="1"/>
  <c r="AF30" i="119"/>
  <c r="AG30" i="119" s="1"/>
  <c r="AC30" i="119"/>
  <c r="AD30" i="119" s="1"/>
  <c r="W30" i="119"/>
  <c r="X30" i="119" s="1"/>
  <c r="T30" i="119"/>
  <c r="U30" i="119" s="1"/>
  <c r="R30" i="119"/>
  <c r="Q30" i="119"/>
  <c r="N30" i="119"/>
  <c r="O30" i="119" s="1"/>
  <c r="I30" i="119"/>
  <c r="H30" i="119"/>
  <c r="E30" i="119"/>
  <c r="DJ29" i="119"/>
  <c r="DK29" i="119" s="1"/>
  <c r="DG29" i="119"/>
  <c r="DH29" i="119" s="1"/>
  <c r="DD29" i="119"/>
  <c r="DA29" i="119"/>
  <c r="CY29" i="119"/>
  <c r="CX29" i="119"/>
  <c r="CU29" i="119"/>
  <c r="CB29" i="119"/>
  <c r="CC29" i="119" s="1"/>
  <c r="BZ29" i="119"/>
  <c r="BY29" i="119"/>
  <c r="BU29" i="119"/>
  <c r="BL29" i="119"/>
  <c r="BM29" i="119" s="1"/>
  <c r="BE29" i="119"/>
  <c r="BF29" i="119" s="1"/>
  <c r="BG29" i="119" s="1"/>
  <c r="BD29" i="119"/>
  <c r="BC29" i="119"/>
  <c r="BB29" i="119"/>
  <c r="AS29" i="119"/>
  <c r="AT29" i="119" s="1"/>
  <c r="AQ29" i="119"/>
  <c r="AP29" i="119"/>
  <c r="AF29" i="119"/>
  <c r="AG29" i="119" s="1"/>
  <c r="AC29" i="119"/>
  <c r="AD29" i="119" s="1"/>
  <c r="W29" i="119"/>
  <c r="X29" i="119" s="1"/>
  <c r="T29" i="119"/>
  <c r="U29" i="119" s="1"/>
  <c r="Q29" i="119"/>
  <c r="R29" i="119" s="1"/>
  <c r="N29" i="119"/>
  <c r="O29" i="119" s="1"/>
  <c r="I29" i="119"/>
  <c r="J29" i="119" s="1"/>
  <c r="H29" i="119"/>
  <c r="E29" i="119"/>
  <c r="DJ28" i="119"/>
  <c r="DK28" i="119" s="1"/>
  <c r="DG28" i="119"/>
  <c r="DH28" i="119" s="1"/>
  <c r="DE28" i="119"/>
  <c r="DD28" i="119"/>
  <c r="DA28" i="119"/>
  <c r="DB28" i="119" s="1"/>
  <c r="CX28" i="119"/>
  <c r="CY28" i="119" s="1"/>
  <c r="CU28" i="119"/>
  <c r="CV28" i="119" s="1"/>
  <c r="CC28" i="119"/>
  <c r="CB28" i="119"/>
  <c r="BY28" i="119"/>
  <c r="BZ28" i="119" s="1"/>
  <c r="BL28" i="119"/>
  <c r="BM28" i="119" s="1"/>
  <c r="BE28" i="119"/>
  <c r="BD28" i="119"/>
  <c r="BC28" i="119"/>
  <c r="BB28" i="119"/>
  <c r="BF28" i="119" s="1"/>
  <c r="BG28" i="119" s="1"/>
  <c r="AT28" i="119"/>
  <c r="AS28" i="119"/>
  <c r="AP28" i="119"/>
  <c r="AQ28" i="119" s="1"/>
  <c r="AF28" i="119"/>
  <c r="AG28" i="119" s="1"/>
  <c r="AC28" i="119"/>
  <c r="AD28" i="119" s="1"/>
  <c r="W28" i="119"/>
  <c r="X28" i="119" s="1"/>
  <c r="T28" i="119"/>
  <c r="U28" i="119" s="1"/>
  <c r="Q28" i="119"/>
  <c r="R28" i="119" s="1"/>
  <c r="N28" i="119"/>
  <c r="O28" i="119" s="1"/>
  <c r="I28" i="119"/>
  <c r="H28" i="119"/>
  <c r="J28" i="119" s="1"/>
  <c r="E28" i="119"/>
  <c r="DJ27" i="119"/>
  <c r="DK27" i="119" s="1"/>
  <c r="DH27" i="119"/>
  <c r="DG27" i="119"/>
  <c r="DD27" i="119"/>
  <c r="DE27" i="119" s="1"/>
  <c r="DA27" i="119"/>
  <c r="DB27" i="119" s="1"/>
  <c r="CX27" i="119"/>
  <c r="CY27" i="119" s="1"/>
  <c r="CV27" i="119"/>
  <c r="CU27" i="119"/>
  <c r="CB27" i="119"/>
  <c r="CC27" i="119" s="1"/>
  <c r="BY27" i="119"/>
  <c r="BZ27" i="119" s="1"/>
  <c r="BM27" i="119"/>
  <c r="BL27" i="119"/>
  <c r="BE27" i="119"/>
  <c r="BD27" i="119"/>
  <c r="BC27" i="119"/>
  <c r="BB27" i="119"/>
  <c r="BF27" i="119" s="1"/>
  <c r="BG27" i="119" s="1"/>
  <c r="AS27" i="119"/>
  <c r="AT27" i="119" s="1"/>
  <c r="AP27" i="119"/>
  <c r="AQ27" i="119" s="1"/>
  <c r="AF27" i="119"/>
  <c r="AG27" i="119" s="1"/>
  <c r="AC27" i="119"/>
  <c r="AD27" i="119" s="1"/>
  <c r="X27" i="119"/>
  <c r="W27" i="119"/>
  <c r="T27" i="119"/>
  <c r="U27" i="119" s="1"/>
  <c r="Q27" i="119"/>
  <c r="R27" i="119" s="1"/>
  <c r="O27" i="119"/>
  <c r="N27" i="119"/>
  <c r="I27" i="119"/>
  <c r="J27" i="119" s="1"/>
  <c r="H27" i="119"/>
  <c r="E27" i="119"/>
  <c r="DK26" i="119"/>
  <c r="DJ26" i="119"/>
  <c r="DG26" i="119"/>
  <c r="DH26" i="119" s="1"/>
  <c r="DD26" i="119"/>
  <c r="DE26" i="119" s="1"/>
  <c r="DA26" i="119"/>
  <c r="DB26" i="119" s="1"/>
  <c r="CY26" i="119"/>
  <c r="CX26" i="119"/>
  <c r="CU26" i="119"/>
  <c r="CV26" i="119" s="1"/>
  <c r="CB26" i="119"/>
  <c r="CC26" i="119" s="1"/>
  <c r="BZ26" i="119"/>
  <c r="BY26" i="119"/>
  <c r="BL26" i="119"/>
  <c r="BM26" i="119" s="1"/>
  <c r="BE26" i="119"/>
  <c r="BD26" i="119"/>
  <c r="BF26" i="119" s="1"/>
  <c r="BG26" i="119" s="1"/>
  <c r="BC26" i="119"/>
  <c r="BB26" i="119"/>
  <c r="AS26" i="119"/>
  <c r="AT26" i="119" s="1"/>
  <c r="AP26" i="119"/>
  <c r="AQ26" i="119" s="1"/>
  <c r="AF26" i="119"/>
  <c r="AG26" i="119" s="1"/>
  <c r="AC26" i="119"/>
  <c r="AD26" i="119" s="1"/>
  <c r="W26" i="119"/>
  <c r="X26" i="119" s="1"/>
  <c r="T26" i="119"/>
  <c r="U26" i="119" s="1"/>
  <c r="R26" i="119"/>
  <c r="Q26" i="119"/>
  <c r="N26" i="119"/>
  <c r="O26" i="119" s="1"/>
  <c r="I26" i="119"/>
  <c r="H26" i="119"/>
  <c r="E26" i="119"/>
  <c r="DJ25" i="119"/>
  <c r="DK25" i="119" s="1"/>
  <c r="DG25" i="119"/>
  <c r="DH25" i="119" s="1"/>
  <c r="DD25" i="119"/>
  <c r="DE25" i="119" s="1"/>
  <c r="DB25" i="119"/>
  <c r="DA25" i="119"/>
  <c r="CX25" i="119"/>
  <c r="CY25" i="119" s="1"/>
  <c r="CU25" i="119"/>
  <c r="CV25" i="119" s="1"/>
  <c r="CC25" i="119"/>
  <c r="CB25" i="119"/>
  <c r="BY25" i="119"/>
  <c r="BZ25" i="119" s="1"/>
  <c r="BL25" i="119"/>
  <c r="BM25" i="119" s="1"/>
  <c r="BF25" i="119"/>
  <c r="BG25" i="119" s="1"/>
  <c r="BE25" i="119"/>
  <c r="BD25" i="119"/>
  <c r="BC25" i="119"/>
  <c r="BB25" i="119"/>
  <c r="AS25" i="119"/>
  <c r="AT25" i="119" s="1"/>
  <c r="AP25" i="119"/>
  <c r="AQ25" i="119" s="1"/>
  <c r="AF25" i="119"/>
  <c r="AG25" i="119" s="1"/>
  <c r="AC25" i="119"/>
  <c r="AD25" i="119" s="1"/>
  <c r="W25" i="119"/>
  <c r="X25" i="119" s="1"/>
  <c r="U25" i="119"/>
  <c r="T25" i="119"/>
  <c r="Q25" i="119"/>
  <c r="R25" i="119" s="1"/>
  <c r="N25" i="119"/>
  <c r="O25" i="119" s="1"/>
  <c r="J25" i="119"/>
  <c r="I25" i="119"/>
  <c r="H25" i="119"/>
  <c r="E25" i="119"/>
  <c r="DJ24" i="119"/>
  <c r="DK24" i="119" s="1"/>
  <c r="DG24" i="119"/>
  <c r="DH24" i="119" s="1"/>
  <c r="DE24" i="119"/>
  <c r="DD24" i="119"/>
  <c r="DA24" i="119"/>
  <c r="DB24" i="119" s="1"/>
  <c r="CX24" i="119"/>
  <c r="CY24" i="119" s="1"/>
  <c r="CV24" i="119"/>
  <c r="CU24" i="119"/>
  <c r="CB24" i="119"/>
  <c r="CC24" i="119" s="1"/>
  <c r="BY24" i="119"/>
  <c r="BZ24" i="119" s="1"/>
  <c r="BL24" i="119"/>
  <c r="BM24" i="119" s="1"/>
  <c r="BE24" i="119"/>
  <c r="BD24" i="119"/>
  <c r="BC24" i="119"/>
  <c r="BB24" i="119"/>
  <c r="BF24" i="119" s="1"/>
  <c r="BG24" i="119" s="1"/>
  <c r="AS24" i="119"/>
  <c r="AT24" i="119" s="1"/>
  <c r="AQ24" i="119"/>
  <c r="AP24" i="119"/>
  <c r="AF24" i="119"/>
  <c r="AG24" i="119" s="1"/>
  <c r="AC24" i="119"/>
  <c r="AD24" i="119" s="1"/>
  <c r="X24" i="119"/>
  <c r="W24" i="119"/>
  <c r="T24" i="119"/>
  <c r="U24" i="119" s="1"/>
  <c r="Q24" i="119"/>
  <c r="R24" i="119" s="1"/>
  <c r="N24" i="119"/>
  <c r="O24" i="119" s="1"/>
  <c r="J24" i="119"/>
  <c r="I24" i="119"/>
  <c r="H24" i="119"/>
  <c r="E24" i="119"/>
  <c r="DJ23" i="119"/>
  <c r="DK23" i="119" s="1"/>
  <c r="DH23" i="119"/>
  <c r="DG23" i="119"/>
  <c r="DD23" i="119"/>
  <c r="DE23" i="119" s="1"/>
  <c r="DA23" i="119"/>
  <c r="DB23" i="119" s="1"/>
  <c r="CY23" i="119"/>
  <c r="CX23" i="119"/>
  <c r="CU23" i="119"/>
  <c r="CV23" i="119" s="1"/>
  <c r="CB23" i="119"/>
  <c r="CC23" i="119" s="1"/>
  <c r="BZ23" i="119"/>
  <c r="BY23" i="119"/>
  <c r="BL23" i="119"/>
  <c r="BM23" i="119" s="1"/>
  <c r="BF23" i="119"/>
  <c r="BG23" i="119" s="1"/>
  <c r="BE23" i="119"/>
  <c r="BD23" i="119"/>
  <c r="BC23" i="119"/>
  <c r="BB23" i="119"/>
  <c r="AS23" i="119"/>
  <c r="AT23" i="119" s="1"/>
  <c r="AQ23" i="119"/>
  <c r="AP23" i="119"/>
  <c r="AF23" i="119"/>
  <c r="AG23" i="119" s="1"/>
  <c r="AC23" i="119"/>
  <c r="AD23" i="119" s="1"/>
  <c r="X23" i="119"/>
  <c r="W23" i="119"/>
  <c r="T23" i="119"/>
  <c r="U23" i="119" s="1"/>
  <c r="Q23" i="119"/>
  <c r="R23" i="119" s="1"/>
  <c r="O23" i="119"/>
  <c r="N23" i="119"/>
  <c r="I23" i="119"/>
  <c r="J23" i="119" s="1"/>
  <c r="H23" i="119"/>
  <c r="E23" i="119"/>
  <c r="DK22" i="119"/>
  <c r="DJ22" i="119"/>
  <c r="DG22" i="119"/>
  <c r="DH22" i="119" s="1"/>
  <c r="DD22" i="119"/>
  <c r="DE22" i="119" s="1"/>
  <c r="DB22" i="119"/>
  <c r="DA22" i="119"/>
  <c r="CX22" i="119"/>
  <c r="CY22" i="119" s="1"/>
  <c r="CU22" i="119"/>
  <c r="CV22" i="119" s="1"/>
  <c r="CC22" i="119"/>
  <c r="CB22" i="119"/>
  <c r="BY22" i="119"/>
  <c r="BZ22" i="119" s="1"/>
  <c r="BL22" i="119"/>
  <c r="BM22" i="119" s="1"/>
  <c r="BE22" i="119"/>
  <c r="BD22" i="119"/>
  <c r="BC22" i="119"/>
  <c r="BB22" i="119"/>
  <c r="BF22" i="119" s="1"/>
  <c r="BG22" i="119" s="1"/>
  <c r="AT22" i="119"/>
  <c r="AS22" i="119"/>
  <c r="AP22" i="119"/>
  <c r="AQ22" i="119" s="1"/>
  <c r="AF22" i="119"/>
  <c r="AG22" i="119" s="1"/>
  <c r="AD22" i="119"/>
  <c r="AC22" i="119"/>
  <c r="W22" i="119"/>
  <c r="X22" i="119" s="1"/>
  <c r="T22" i="119"/>
  <c r="U22" i="119" s="1"/>
  <c r="R22" i="119"/>
  <c r="Q22" i="119"/>
  <c r="N22" i="119"/>
  <c r="O22" i="119" s="1"/>
  <c r="I22" i="119"/>
  <c r="J22" i="119" s="1"/>
  <c r="H22" i="119"/>
  <c r="E22" i="119"/>
  <c r="DJ21" i="119"/>
  <c r="DK21" i="119" s="1"/>
  <c r="DG21" i="119"/>
  <c r="DH21" i="119" s="1"/>
  <c r="DE21" i="119"/>
  <c r="DD21" i="119"/>
  <c r="DA21" i="119"/>
  <c r="DB21" i="119" s="1"/>
  <c r="CX21" i="119"/>
  <c r="CY21" i="119" s="1"/>
  <c r="CV21" i="119"/>
  <c r="CU21" i="119"/>
  <c r="CB21" i="119"/>
  <c r="CC21" i="119" s="1"/>
  <c r="BY21" i="119"/>
  <c r="BZ21" i="119" s="1"/>
  <c r="BM21" i="119"/>
  <c r="BL21" i="119"/>
  <c r="BE21" i="119"/>
  <c r="BD21" i="119"/>
  <c r="BF21" i="119" s="1"/>
  <c r="BG21" i="119" s="1"/>
  <c r="BC21" i="119"/>
  <c r="BB21" i="119"/>
  <c r="AS21" i="119"/>
  <c r="AT21" i="119" s="1"/>
  <c r="AP21" i="119"/>
  <c r="AQ21" i="119" s="1"/>
  <c r="AG21" i="119"/>
  <c r="AF21" i="119"/>
  <c r="AC21" i="119"/>
  <c r="AD21" i="119" s="1"/>
  <c r="W21" i="119"/>
  <c r="X21" i="119" s="1"/>
  <c r="U21" i="119"/>
  <c r="T21" i="119"/>
  <c r="Q21" i="119"/>
  <c r="R21" i="119" s="1"/>
  <c r="N21" i="119"/>
  <c r="O21" i="119" s="1"/>
  <c r="J21" i="119"/>
  <c r="I21" i="119"/>
  <c r="H21" i="119"/>
  <c r="E21" i="119"/>
  <c r="DJ20" i="119"/>
  <c r="DK20" i="119" s="1"/>
  <c r="DH20" i="119"/>
  <c r="DG20" i="119"/>
  <c r="DD20" i="119"/>
  <c r="DE20" i="119" s="1"/>
  <c r="DA20" i="119"/>
  <c r="DB20" i="119" s="1"/>
  <c r="CY20" i="119"/>
  <c r="CX20" i="119"/>
  <c r="CU20" i="119"/>
  <c r="CV20" i="119" s="1"/>
  <c r="CB20" i="119"/>
  <c r="CC20" i="119" s="1"/>
  <c r="BZ20" i="119"/>
  <c r="BY20" i="119"/>
  <c r="BL20" i="119"/>
  <c r="BM20" i="119" s="1"/>
  <c r="BF20" i="119"/>
  <c r="BG20" i="119" s="1"/>
  <c r="BE20" i="119"/>
  <c r="BD20" i="119"/>
  <c r="BC20" i="119"/>
  <c r="BB20" i="119"/>
  <c r="AS20" i="119"/>
  <c r="AT20" i="119" s="1"/>
  <c r="AQ20" i="119"/>
  <c r="AP20" i="119"/>
  <c r="AF20" i="119"/>
  <c r="AG20" i="119" s="1"/>
  <c r="AC20" i="119"/>
  <c r="AD20" i="119" s="1"/>
  <c r="X20" i="119"/>
  <c r="W20" i="119"/>
  <c r="T20" i="119"/>
  <c r="U20" i="119" s="1"/>
  <c r="Q20" i="119"/>
  <c r="R20" i="119" s="1"/>
  <c r="O20" i="119"/>
  <c r="N20" i="119"/>
  <c r="I20" i="119"/>
  <c r="J20" i="119" s="1"/>
  <c r="H20" i="119"/>
  <c r="E20" i="119"/>
  <c r="DK19" i="119"/>
  <c r="DJ19" i="119"/>
  <c r="DG19" i="119"/>
  <c r="DH19" i="119" s="1"/>
  <c r="DD19" i="119"/>
  <c r="DE19" i="119" s="1"/>
  <c r="DB19" i="119"/>
  <c r="DA19" i="119"/>
  <c r="CX19" i="119"/>
  <c r="CY19" i="119" s="1"/>
  <c r="CS19" i="119"/>
  <c r="CQ19" i="119"/>
  <c r="CF19" i="119"/>
  <c r="CE19" i="119"/>
  <c r="BL19" i="119"/>
  <c r="BM19" i="119" s="1"/>
  <c r="BF19" i="119"/>
  <c r="BG19" i="119" s="1"/>
  <c r="BE19" i="119"/>
  <c r="BD19" i="119"/>
  <c r="BC19" i="119"/>
  <c r="BB19" i="119"/>
  <c r="AS19" i="119"/>
  <c r="AT19" i="119" s="1"/>
  <c r="AQ19" i="119"/>
  <c r="AP19" i="119"/>
  <c r="AF19" i="119"/>
  <c r="AG19" i="119" s="1"/>
  <c r="AC19" i="119"/>
  <c r="AD19" i="119" s="1"/>
  <c r="X19" i="119"/>
  <c r="W19" i="119"/>
  <c r="T19" i="119"/>
  <c r="U19" i="119" s="1"/>
  <c r="Q19" i="119"/>
  <c r="R19" i="119" s="1"/>
  <c r="N19" i="119"/>
  <c r="I19" i="119"/>
  <c r="H19" i="119"/>
  <c r="J19" i="119" s="1"/>
  <c r="E19" i="119"/>
  <c r="DK18" i="119"/>
  <c r="DJ18" i="119"/>
  <c r="DG18" i="119"/>
  <c r="DH18" i="119" s="1"/>
  <c r="DD18" i="119"/>
  <c r="DE18" i="119" s="1"/>
  <c r="DB18" i="119"/>
  <c r="DA18" i="119"/>
  <c r="CX18" i="119"/>
  <c r="CY18" i="119" s="1"/>
  <c r="CU18" i="119"/>
  <c r="CV18" i="119" s="1"/>
  <c r="CC18" i="119"/>
  <c r="CB18" i="119"/>
  <c r="BY18" i="119"/>
  <c r="BZ18" i="119" s="1"/>
  <c r="BL18" i="119"/>
  <c r="BM18" i="119" s="1"/>
  <c r="BE18" i="119"/>
  <c r="BD18" i="119"/>
  <c r="BC18" i="119"/>
  <c r="BB18" i="119"/>
  <c r="BF18" i="119" s="1"/>
  <c r="BG18" i="119" s="1"/>
  <c r="AT18" i="119"/>
  <c r="AS18" i="119"/>
  <c r="AP18" i="119"/>
  <c r="AQ18" i="119" s="1"/>
  <c r="AF18" i="119"/>
  <c r="AG18" i="119" s="1"/>
  <c r="AD18" i="119"/>
  <c r="AC18" i="119"/>
  <c r="W18" i="119"/>
  <c r="X18" i="119" s="1"/>
  <c r="T18" i="119"/>
  <c r="U18" i="119" s="1"/>
  <c r="R18" i="119"/>
  <c r="Q18" i="119"/>
  <c r="N18" i="119"/>
  <c r="O18" i="119" s="1"/>
  <c r="I18" i="119"/>
  <c r="J18" i="119" s="1"/>
  <c r="H18" i="119"/>
  <c r="E18" i="119"/>
  <c r="DJ17" i="119"/>
  <c r="DK17" i="119" s="1"/>
  <c r="DG17" i="119"/>
  <c r="DH17" i="119" s="1"/>
  <c r="DE17" i="119"/>
  <c r="DD17" i="119"/>
  <c r="DA17" i="119"/>
  <c r="DB17" i="119" s="1"/>
  <c r="CX17" i="119"/>
  <c r="CY17" i="119" s="1"/>
  <c r="CV17" i="119"/>
  <c r="CU17" i="119"/>
  <c r="CB17" i="119"/>
  <c r="CC17" i="119" s="1"/>
  <c r="BY17" i="119"/>
  <c r="BZ17" i="119" s="1"/>
  <c r="BM17" i="119"/>
  <c r="BL17" i="119"/>
  <c r="BE17" i="119"/>
  <c r="BD17" i="119"/>
  <c r="BC17" i="119"/>
  <c r="BB17" i="119"/>
  <c r="BF17" i="119" s="1"/>
  <c r="BG17" i="119" s="1"/>
  <c r="AS17" i="119"/>
  <c r="AT17" i="119" s="1"/>
  <c r="AP17" i="119"/>
  <c r="AQ17" i="119" s="1"/>
  <c r="AG17" i="119"/>
  <c r="AF17" i="119"/>
  <c r="AC17" i="119"/>
  <c r="AD17" i="119" s="1"/>
  <c r="W17" i="119"/>
  <c r="X17" i="119" s="1"/>
  <c r="U17" i="119"/>
  <c r="T17" i="119"/>
  <c r="Q17" i="119"/>
  <c r="R17" i="119" s="1"/>
  <c r="N17" i="119"/>
  <c r="O17" i="119" s="1"/>
  <c r="J17" i="119"/>
  <c r="I17" i="119"/>
  <c r="H17" i="119"/>
  <c r="E17" i="119"/>
  <c r="DJ16" i="119"/>
  <c r="DK16" i="119" s="1"/>
  <c r="DH16" i="119"/>
  <c r="DG16" i="119"/>
  <c r="DD16" i="119"/>
  <c r="DE16" i="119" s="1"/>
  <c r="DA16" i="119"/>
  <c r="DB16" i="119" s="1"/>
  <c r="CY16" i="119"/>
  <c r="CX16" i="119"/>
  <c r="CU16" i="119"/>
  <c r="CV16" i="119" s="1"/>
  <c r="CB16" i="119"/>
  <c r="CC16" i="119" s="1"/>
  <c r="BZ16" i="119"/>
  <c r="BY16" i="119"/>
  <c r="BL16" i="119"/>
  <c r="BM16" i="119" s="1"/>
  <c r="BE16" i="119"/>
  <c r="BF16" i="119" s="1"/>
  <c r="BG16" i="119" s="1"/>
  <c r="BD16" i="119"/>
  <c r="BC16" i="119"/>
  <c r="BB16" i="119"/>
  <c r="AS16" i="119"/>
  <c r="AT16" i="119" s="1"/>
  <c r="AQ16" i="119"/>
  <c r="AP16" i="119"/>
  <c r="AF16" i="119"/>
  <c r="AG16" i="119" s="1"/>
  <c r="AC16" i="119"/>
  <c r="AD16" i="119" s="1"/>
  <c r="X16" i="119"/>
  <c r="W16" i="119"/>
  <c r="T16" i="119"/>
  <c r="U16" i="119" s="1"/>
  <c r="Q16" i="119"/>
  <c r="R16" i="119" s="1"/>
  <c r="O16" i="119"/>
  <c r="N16" i="119"/>
  <c r="I16" i="119"/>
  <c r="J16" i="119" s="1"/>
  <c r="H16" i="119"/>
  <c r="E16" i="119"/>
  <c r="DK15" i="119"/>
  <c r="DJ15" i="119"/>
  <c r="DG15" i="119"/>
  <c r="DH15" i="119" s="1"/>
  <c r="DD15" i="119"/>
  <c r="DE15" i="119" s="1"/>
  <c r="DB15" i="119"/>
  <c r="DA15" i="119"/>
  <c r="CX15" i="119"/>
  <c r="CY15" i="119" s="1"/>
  <c r="CU15" i="119"/>
  <c r="CV15" i="119" s="1"/>
  <c r="CC15" i="119"/>
  <c r="CB15" i="119"/>
  <c r="BY15" i="119"/>
  <c r="BZ15" i="119" s="1"/>
  <c r="BL15" i="119"/>
  <c r="BM15" i="119" s="1"/>
  <c r="BE15" i="119"/>
  <c r="BD15" i="119"/>
  <c r="BC15" i="119"/>
  <c r="BB15" i="119"/>
  <c r="BF15" i="119" s="1"/>
  <c r="BG15" i="119" s="1"/>
  <c r="AT15" i="119"/>
  <c r="AS15" i="119"/>
  <c r="AP15" i="119"/>
  <c r="AQ15" i="119" s="1"/>
  <c r="AF15" i="119"/>
  <c r="AG15" i="119" s="1"/>
  <c r="AD15" i="119"/>
  <c r="AC15" i="119"/>
  <c r="W15" i="119"/>
  <c r="X15" i="119" s="1"/>
  <c r="T15" i="119"/>
  <c r="U15" i="119" s="1"/>
  <c r="R15" i="119"/>
  <c r="Q15" i="119"/>
  <c r="N15" i="119"/>
  <c r="O15" i="119" s="1"/>
  <c r="I15" i="119"/>
  <c r="J15" i="119" s="1"/>
  <c r="H15" i="119"/>
  <c r="E15" i="119"/>
  <c r="DJ14" i="119"/>
  <c r="DK14" i="119" s="1"/>
  <c r="DG14" i="119"/>
  <c r="DH14" i="119" s="1"/>
  <c r="DE14" i="119"/>
  <c r="DD14" i="119"/>
  <c r="DA14" i="119"/>
  <c r="DB14" i="119" s="1"/>
  <c r="CX14" i="119"/>
  <c r="CY14" i="119" s="1"/>
  <c r="CV14" i="119"/>
  <c r="CU14" i="119"/>
  <c r="CB14" i="119"/>
  <c r="CC14" i="119" s="1"/>
  <c r="BY14" i="119"/>
  <c r="BZ14" i="119" s="1"/>
  <c r="BM14" i="119"/>
  <c r="BL14" i="119"/>
  <c r="BE14" i="119"/>
  <c r="BD14" i="119"/>
  <c r="BC14" i="119"/>
  <c r="BB14" i="119"/>
  <c r="AS14" i="119"/>
  <c r="AT14" i="119" s="1"/>
  <c r="AP14" i="119"/>
  <c r="AQ14" i="119" s="1"/>
  <c r="AG14" i="119"/>
  <c r="AF14" i="119"/>
  <c r="AC14" i="119"/>
  <c r="AD14" i="119" s="1"/>
  <c r="W14" i="119"/>
  <c r="X14" i="119" s="1"/>
  <c r="U14" i="119"/>
  <c r="T14" i="119"/>
  <c r="Q14" i="119"/>
  <c r="R14" i="119" s="1"/>
  <c r="N14" i="119"/>
  <c r="O14" i="119" s="1"/>
  <c r="J14" i="119"/>
  <c r="I14" i="119"/>
  <c r="H14" i="119"/>
  <c r="E14" i="119"/>
  <c r="DJ13" i="119"/>
  <c r="DK13" i="119" s="1"/>
  <c r="DH13" i="119"/>
  <c r="DG13" i="119"/>
  <c r="DD13" i="119"/>
  <c r="DE13" i="119" s="1"/>
  <c r="DA13" i="119"/>
  <c r="DB13" i="119" s="1"/>
  <c r="CY13" i="119"/>
  <c r="CX13" i="119"/>
  <c r="CU13" i="119"/>
  <c r="CV13" i="119" s="1"/>
  <c r="CB13" i="119"/>
  <c r="CC13" i="119" s="1"/>
  <c r="BZ13" i="119"/>
  <c r="BY13" i="119"/>
  <c r="BL13" i="119"/>
  <c r="BM13" i="119" s="1"/>
  <c r="BE13" i="119"/>
  <c r="BF13" i="119" s="1"/>
  <c r="BG13" i="119" s="1"/>
  <c r="BD13" i="119"/>
  <c r="BC13" i="119"/>
  <c r="BB13" i="119"/>
  <c r="AS13" i="119"/>
  <c r="AT13" i="119" s="1"/>
  <c r="AQ13" i="119"/>
  <c r="AP13" i="119"/>
  <c r="AF13" i="119"/>
  <c r="AG13" i="119" s="1"/>
  <c r="AC13" i="119"/>
  <c r="AD13" i="119" s="1"/>
  <c r="X13" i="119"/>
  <c r="W13" i="119"/>
  <c r="T13" i="119"/>
  <c r="U13" i="119" s="1"/>
  <c r="Q13" i="119"/>
  <c r="R13" i="119" s="1"/>
  <c r="O13" i="119"/>
  <c r="N13" i="119"/>
  <c r="I13" i="119"/>
  <c r="J13" i="119" s="1"/>
  <c r="H13" i="119"/>
  <c r="E13" i="119"/>
  <c r="DK12" i="119"/>
  <c r="DJ12" i="119"/>
  <c r="DG12" i="119"/>
  <c r="DH12" i="119" s="1"/>
  <c r="DD12" i="119"/>
  <c r="DE12" i="119" s="1"/>
  <c r="DA12" i="119"/>
  <c r="CY12" i="119"/>
  <c r="CX12" i="119"/>
  <c r="CU12" i="119"/>
  <c r="CB12" i="119"/>
  <c r="CC12" i="119" s="1"/>
  <c r="BZ12" i="119"/>
  <c r="BY12" i="119"/>
  <c r="BL12" i="119"/>
  <c r="BM12" i="119" s="1"/>
  <c r="BE12" i="119"/>
  <c r="BF12" i="119" s="1"/>
  <c r="BG12" i="119" s="1"/>
  <c r="BD12" i="119"/>
  <c r="BC12" i="119"/>
  <c r="BB12" i="119"/>
  <c r="AS12" i="119"/>
  <c r="AT12" i="119" s="1"/>
  <c r="AQ12" i="119"/>
  <c r="AP12" i="119"/>
  <c r="AL12" i="119"/>
  <c r="AM12" i="119" s="1"/>
  <c r="W12" i="119"/>
  <c r="X12" i="119" s="1"/>
  <c r="U12" i="119"/>
  <c r="T12" i="119"/>
  <c r="Q12" i="119"/>
  <c r="R12" i="119" s="1"/>
  <c r="N12" i="119"/>
  <c r="O12" i="119" s="1"/>
  <c r="J12" i="119"/>
  <c r="I12" i="119"/>
  <c r="H12" i="119"/>
  <c r="E12" i="119"/>
  <c r="DJ11" i="119"/>
  <c r="DK11" i="119" s="1"/>
  <c r="DH11" i="119"/>
  <c r="DG11" i="119"/>
  <c r="DD11" i="119"/>
  <c r="DE11" i="119" s="1"/>
  <c r="DA11" i="119"/>
  <c r="DB11" i="119" s="1"/>
  <c r="CY11" i="119"/>
  <c r="CX11" i="119"/>
  <c r="CU11" i="119"/>
  <c r="CV11" i="119" s="1"/>
  <c r="CB11" i="119"/>
  <c r="CC11" i="119" s="1"/>
  <c r="BZ11" i="119"/>
  <c r="BY11" i="119"/>
  <c r="BL11" i="119"/>
  <c r="BM11" i="119" s="1"/>
  <c r="BE11" i="119"/>
  <c r="BF11" i="119" s="1"/>
  <c r="BG11" i="119" s="1"/>
  <c r="BD11" i="119"/>
  <c r="BC11" i="119"/>
  <c r="BB11" i="119"/>
  <c r="AS11" i="119"/>
  <c r="AT11" i="119" s="1"/>
  <c r="AQ11" i="119"/>
  <c r="AP11" i="119"/>
  <c r="AF11" i="119"/>
  <c r="AG11" i="119" s="1"/>
  <c r="AC11" i="119"/>
  <c r="AD11" i="119" s="1"/>
  <c r="X11" i="119"/>
  <c r="W11" i="119"/>
  <c r="T11" i="119"/>
  <c r="U11" i="119" s="1"/>
  <c r="Q11" i="119"/>
  <c r="R11" i="119" s="1"/>
  <c r="O11" i="119"/>
  <c r="N11" i="119"/>
  <c r="I11" i="119"/>
  <c r="J11" i="119" s="1"/>
  <c r="H11" i="119"/>
  <c r="E11" i="119"/>
  <c r="DK10" i="119"/>
  <c r="DJ10" i="119"/>
  <c r="DG10" i="119"/>
  <c r="DH10" i="119" s="1"/>
  <c r="DD10" i="119"/>
  <c r="DE10" i="119" s="1"/>
  <c r="DB10" i="119"/>
  <c r="DA10" i="119"/>
  <c r="CX10" i="119"/>
  <c r="CY10" i="119" s="1"/>
  <c r="CU10" i="119"/>
  <c r="CV10" i="119" s="1"/>
  <c r="CC10" i="119"/>
  <c r="CB10" i="119"/>
  <c r="BY10" i="119"/>
  <c r="BZ10" i="119" s="1"/>
  <c r="BL10" i="119"/>
  <c r="BM10" i="119" s="1"/>
  <c r="BG10" i="119"/>
  <c r="BE10" i="119"/>
  <c r="BD10" i="119"/>
  <c r="BC10" i="119"/>
  <c r="BB10" i="119"/>
  <c r="BF10" i="119" s="1"/>
  <c r="AT10" i="119"/>
  <c r="AS10" i="119"/>
  <c r="AP10" i="119"/>
  <c r="AQ10" i="119" s="1"/>
  <c r="AF10" i="119"/>
  <c r="AG10" i="119" s="1"/>
  <c r="AD10" i="119"/>
  <c r="AC10" i="119"/>
  <c r="W10" i="119"/>
  <c r="X10" i="119" s="1"/>
  <c r="T10" i="119"/>
  <c r="U10" i="119" s="1"/>
  <c r="R10" i="119"/>
  <c r="Q10" i="119"/>
  <c r="N10" i="119"/>
  <c r="O10" i="119" s="1"/>
  <c r="I10" i="119"/>
  <c r="H10" i="119"/>
  <c r="E10" i="119"/>
  <c r="DJ9" i="119"/>
  <c r="DK9" i="119" s="1"/>
  <c r="DG9" i="119"/>
  <c r="DH9" i="119" s="1"/>
  <c r="DE9" i="119"/>
  <c r="DD9" i="119"/>
  <c r="DA9" i="119"/>
  <c r="DB9" i="119" s="1"/>
  <c r="CX9" i="119"/>
  <c r="CY9" i="119" s="1"/>
  <c r="CV9" i="119"/>
  <c r="CU9" i="119"/>
  <c r="CB9" i="119"/>
  <c r="CC9" i="119" s="1"/>
  <c r="BY9" i="119"/>
  <c r="BZ9" i="119" s="1"/>
  <c r="BM9" i="119"/>
  <c r="BL9" i="119"/>
  <c r="BE9" i="119"/>
  <c r="BD9" i="119"/>
  <c r="BC9" i="119"/>
  <c r="BB9" i="119"/>
  <c r="AS9" i="119"/>
  <c r="AT9" i="119" s="1"/>
  <c r="AP9" i="119"/>
  <c r="AQ9" i="119" s="1"/>
  <c r="AG9" i="119"/>
  <c r="AF9" i="119"/>
  <c r="AC9" i="119"/>
  <c r="AD9" i="119" s="1"/>
  <c r="W9" i="119"/>
  <c r="X9" i="119" s="1"/>
  <c r="U9" i="119"/>
  <c r="T9" i="119"/>
  <c r="Q9" i="119"/>
  <c r="R9" i="119" s="1"/>
  <c r="N9" i="119"/>
  <c r="O9" i="119" s="1"/>
  <c r="J9" i="119"/>
  <c r="I9" i="119"/>
  <c r="H9" i="119"/>
  <c r="E9" i="119"/>
  <c r="DJ8" i="119"/>
  <c r="DK8" i="119" s="1"/>
  <c r="DH8" i="119"/>
  <c r="DG8" i="119"/>
  <c r="DD8" i="119"/>
  <c r="DE8" i="119" s="1"/>
  <c r="DA8" i="119"/>
  <c r="DB8" i="119" s="1"/>
  <c r="CY8" i="119"/>
  <c r="CX8" i="119"/>
  <c r="CU8" i="119"/>
  <c r="CV8" i="119" s="1"/>
  <c r="CB8" i="119"/>
  <c r="CC8" i="119" s="1"/>
  <c r="BZ8" i="119"/>
  <c r="BY8" i="119"/>
  <c r="BL8" i="119"/>
  <c r="BM8" i="119" s="1"/>
  <c r="BE8" i="119"/>
  <c r="BF8" i="119" s="1"/>
  <c r="BG8" i="119" s="1"/>
  <c r="BD8" i="119"/>
  <c r="BC8" i="119"/>
  <c r="BB8" i="119"/>
  <c r="AS8" i="119"/>
  <c r="AT8" i="119" s="1"/>
  <c r="AQ8" i="119"/>
  <c r="AP8" i="119"/>
  <c r="AF8" i="119"/>
  <c r="AG8" i="119" s="1"/>
  <c r="AC8" i="119"/>
  <c r="AD8" i="119" s="1"/>
  <c r="X8" i="119"/>
  <c r="W8" i="119"/>
  <c r="T8" i="119"/>
  <c r="U8" i="119" s="1"/>
  <c r="Q8" i="119"/>
  <c r="R8" i="119" s="1"/>
  <c r="O8" i="119"/>
  <c r="N8" i="119"/>
  <c r="I8" i="119"/>
  <c r="J8" i="119" s="1"/>
  <c r="H8" i="119"/>
  <c r="E8" i="119"/>
  <c r="DK7" i="119"/>
  <c r="DJ7" i="119"/>
  <c r="DG7" i="119"/>
  <c r="DH7" i="119" s="1"/>
  <c r="DD7" i="119"/>
  <c r="DE7" i="119" s="1"/>
  <c r="DB7" i="119"/>
  <c r="DA7" i="119"/>
  <c r="CX7" i="119"/>
  <c r="CY7" i="119" s="1"/>
  <c r="CU7" i="119"/>
  <c r="CV7" i="119" s="1"/>
  <c r="CC7" i="119"/>
  <c r="CB7" i="119"/>
  <c r="BY7" i="119"/>
  <c r="BZ7" i="119" s="1"/>
  <c r="BL7" i="119"/>
  <c r="BM7" i="119" s="1"/>
  <c r="BG7" i="119"/>
  <c r="BE7" i="119"/>
  <c r="BD7" i="119"/>
  <c r="BC7" i="119"/>
  <c r="BB7" i="119"/>
  <c r="BF7" i="119" s="1"/>
  <c r="AT7" i="119"/>
  <c r="AS7" i="119"/>
  <c r="AP7" i="119"/>
  <c r="AQ7" i="119" s="1"/>
  <c r="AF7" i="119"/>
  <c r="AG7" i="119" s="1"/>
  <c r="AD7" i="119"/>
  <c r="AC7" i="119"/>
  <c r="W7" i="119"/>
  <c r="X7" i="119" s="1"/>
  <c r="T7" i="119"/>
  <c r="U7" i="119" s="1"/>
  <c r="R7" i="119"/>
  <c r="Q7" i="119"/>
  <c r="N7" i="119"/>
  <c r="O7" i="119" s="1"/>
  <c r="I7" i="119"/>
  <c r="H7" i="119"/>
  <c r="E7" i="119"/>
  <c r="DJ6" i="119"/>
  <c r="DK6" i="119" s="1"/>
  <c r="DG6" i="119"/>
  <c r="DH6" i="119" s="1"/>
  <c r="DE6" i="119"/>
  <c r="DD6" i="119"/>
  <c r="DA6" i="119"/>
  <c r="DB6" i="119" s="1"/>
  <c r="CX6" i="119"/>
  <c r="CY6" i="119" s="1"/>
  <c r="CV6" i="119"/>
  <c r="CU6" i="119"/>
  <c r="CB6" i="119"/>
  <c r="CC6" i="119" s="1"/>
  <c r="BY6" i="119"/>
  <c r="BZ6" i="119" s="1"/>
  <c r="BL6" i="119"/>
  <c r="BM6" i="119" s="1"/>
  <c r="BE6" i="119"/>
  <c r="BD6" i="119"/>
  <c r="BC6" i="119"/>
  <c r="BB6" i="119"/>
  <c r="AS6" i="119"/>
  <c r="AT6" i="119" s="1"/>
  <c r="AP6" i="119"/>
  <c r="AQ6" i="119" s="1"/>
  <c r="AG6" i="119"/>
  <c r="AF6" i="119"/>
  <c r="AC6" i="119"/>
  <c r="AD6" i="119" s="1"/>
  <c r="W6" i="119"/>
  <c r="X6" i="119" s="1"/>
  <c r="T6" i="119"/>
  <c r="U6" i="119" s="1"/>
  <c r="Q6" i="119"/>
  <c r="R6" i="119" s="1"/>
  <c r="N6" i="119"/>
  <c r="O6" i="119" s="1"/>
  <c r="J6" i="119"/>
  <c r="I6" i="119"/>
  <c r="H6" i="119"/>
  <c r="E6" i="119"/>
  <c r="DJ5" i="119"/>
  <c r="DK5" i="119" s="1"/>
  <c r="DG5" i="119"/>
  <c r="DH5" i="119" s="1"/>
  <c r="DD5" i="119"/>
  <c r="DE5" i="119" s="1"/>
  <c r="DA5" i="119"/>
  <c r="DB5" i="119" s="1"/>
  <c r="CX5" i="119"/>
  <c r="CY5" i="119" s="1"/>
  <c r="CU5" i="119"/>
  <c r="CV5" i="119" s="1"/>
  <c r="CB5" i="119"/>
  <c r="CC5" i="119" s="1"/>
  <c r="BY5" i="119"/>
  <c r="BZ5" i="119" s="1"/>
  <c r="BL5" i="119"/>
  <c r="BM5" i="119" s="1"/>
  <c r="BF5" i="119"/>
  <c r="BG5" i="119" s="1"/>
  <c r="BE5" i="119"/>
  <c r="BD5" i="119"/>
  <c r="BC5" i="119"/>
  <c r="BB5" i="119"/>
  <c r="AS5" i="119"/>
  <c r="AT5" i="119" s="1"/>
  <c r="AQ5" i="119"/>
  <c r="AP5" i="119"/>
  <c r="AF5" i="119"/>
  <c r="AG5" i="119" s="1"/>
  <c r="AC5" i="119"/>
  <c r="AD5" i="119" s="1"/>
  <c r="W5" i="119"/>
  <c r="X5" i="119" s="1"/>
  <c r="T5" i="119"/>
  <c r="U5" i="119" s="1"/>
  <c r="Q5" i="119"/>
  <c r="R5" i="119" s="1"/>
  <c r="O5" i="119"/>
  <c r="N5" i="119"/>
  <c r="I5" i="119"/>
  <c r="J5" i="119" s="1"/>
  <c r="H5" i="119"/>
  <c r="E5" i="119"/>
  <c r="DJ4" i="119"/>
  <c r="DK4" i="119" s="1"/>
  <c r="DG4" i="119"/>
  <c r="DH4" i="119" s="1"/>
  <c r="DD4" i="119"/>
  <c r="DE4" i="119" s="1"/>
  <c r="DA4" i="119"/>
  <c r="DB4" i="119" s="1"/>
  <c r="CX4" i="119"/>
  <c r="CY4" i="119" s="1"/>
  <c r="CU4" i="119"/>
  <c r="CV4" i="119" s="1"/>
  <c r="CB4" i="119"/>
  <c r="CC4" i="119" s="1"/>
  <c r="BY4" i="119"/>
  <c r="BZ4" i="119" s="1"/>
  <c r="BL4" i="119"/>
  <c r="BM4" i="119" s="1"/>
  <c r="BE4" i="119"/>
  <c r="BD4" i="119"/>
  <c r="BC4" i="119"/>
  <c r="BB4" i="119"/>
  <c r="BF4" i="119" s="1"/>
  <c r="BG4" i="119" s="1"/>
  <c r="AS4" i="119"/>
  <c r="AT4" i="119" s="1"/>
  <c r="AP4" i="119"/>
  <c r="AQ4" i="119" s="1"/>
  <c r="AF4" i="119"/>
  <c r="AG4" i="119" s="1"/>
  <c r="AC4" i="119"/>
  <c r="AD4" i="119" s="1"/>
  <c r="W4" i="119"/>
  <c r="X4" i="119" s="1"/>
  <c r="T4" i="119"/>
  <c r="U4" i="119" s="1"/>
  <c r="Q4" i="119"/>
  <c r="R4" i="119" s="1"/>
  <c r="N4" i="119"/>
  <c r="O4" i="119" s="1"/>
  <c r="I4" i="119"/>
  <c r="J4" i="119" s="1"/>
  <c r="H4" i="119"/>
  <c r="E4" i="119"/>
  <c r="DJ3" i="119"/>
  <c r="DK3" i="119" s="1"/>
  <c r="DG3" i="119"/>
  <c r="DH3" i="119" s="1"/>
  <c r="DD3" i="119"/>
  <c r="DA3" i="119"/>
  <c r="CX3" i="119"/>
  <c r="CY3" i="119" s="1"/>
  <c r="CU3" i="119"/>
  <c r="CB3" i="119"/>
  <c r="CC3" i="119" s="1"/>
  <c r="BZ3" i="119"/>
  <c r="BY3" i="119"/>
  <c r="BL3" i="119"/>
  <c r="BM3" i="119" s="1"/>
  <c r="BE3" i="119"/>
  <c r="BF3" i="119" s="1"/>
  <c r="BG3" i="119" s="1"/>
  <c r="BD3" i="119"/>
  <c r="BC3" i="119"/>
  <c r="BB3" i="119"/>
  <c r="AT3" i="119"/>
  <c r="AS3" i="119"/>
  <c r="AQ3" i="119"/>
  <c r="AP3" i="119"/>
  <c r="AF3" i="119"/>
  <c r="AG3" i="119" s="1"/>
  <c r="AC3" i="119"/>
  <c r="AD3" i="119" s="1"/>
  <c r="X3" i="119"/>
  <c r="W3" i="119"/>
  <c r="T3" i="119"/>
  <c r="U3" i="119" s="1"/>
  <c r="R3" i="119"/>
  <c r="Q3" i="119"/>
  <c r="O3" i="119"/>
  <c r="N3" i="119"/>
  <c r="I3" i="119"/>
  <c r="H3" i="119"/>
  <c r="E3" i="119"/>
  <c r="DJ1" i="119"/>
  <c r="C4" i="4"/>
  <c r="C11" i="4"/>
  <c r="BF14" i="119" l="1"/>
  <c r="BG14" i="119" s="1"/>
  <c r="BD1" i="119"/>
  <c r="J3" i="119"/>
  <c r="BF6" i="119"/>
  <c r="BG6" i="119" s="1"/>
  <c r="J7" i="119"/>
  <c r="BB1" i="119"/>
  <c r="BF9" i="119"/>
  <c r="BG9" i="119" s="1"/>
  <c r="J10" i="119"/>
  <c r="J30" i="119"/>
  <c r="J43" i="119"/>
  <c r="J26" i="119"/>
  <c r="BF41" i="119"/>
  <c r="BG41" i="119" s="1"/>
  <c r="J46" i="119"/>
  <c r="J40" i="119"/>
  <c r="BF49" i="119"/>
  <c r="BG49" i="119" s="1"/>
  <c r="BF51" i="119"/>
  <c r="BG51" i="119" s="1"/>
  <c r="BF52" i="119"/>
  <c r="BG52" i="119" s="1"/>
  <c r="J63" i="119"/>
  <c r="BF73" i="119"/>
  <c r="BG73" i="119" s="1"/>
  <c r="J72" i="119"/>
  <c r="J66" i="119"/>
  <c r="BF67" i="119"/>
  <c r="BG67" i="119" s="1"/>
  <c r="J68" i="119"/>
  <c r="J82" i="119"/>
  <c r="BF64" i="119"/>
  <c r="BG64" i="119" s="1"/>
  <c r="BF98" i="119"/>
  <c r="BG98" i="119" s="1"/>
  <c r="BF99" i="119"/>
  <c r="BG99" i="119" s="1"/>
  <c r="J88" i="119"/>
  <c r="J94" i="119"/>
  <c r="J83" i="119"/>
  <c r="BF86" i="119"/>
  <c r="BG86" i="119" s="1"/>
  <c r="J93" i="119"/>
  <c r="J92" i="119"/>
  <c r="BF95" i="119"/>
  <c r="BG95" i="119" s="1"/>
  <c r="J97" i="119"/>
  <c r="J80" i="119"/>
  <c r="BF82" i="119"/>
  <c r="BG82" i="119" s="1"/>
  <c r="BF104" i="119"/>
  <c r="BG104" i="119" s="1"/>
  <c r="BF131" i="119"/>
  <c r="BG131" i="119" s="1"/>
  <c r="J115" i="119"/>
  <c r="BF125" i="119"/>
  <c r="BG125" i="119" s="1"/>
  <c r="BF121" i="119"/>
  <c r="BG121" i="119" s="1"/>
</calcChain>
</file>

<file path=xl/sharedStrings.xml><?xml version="1.0" encoding="utf-8"?>
<sst xmlns="http://schemas.openxmlformats.org/spreadsheetml/2006/main" count="2812" uniqueCount="899">
  <si>
    <t>Batch Name</t>
  </si>
  <si>
    <t>Legal Entity</t>
  </si>
  <si>
    <t>Payroll Group</t>
  </si>
  <si>
    <t>WEIN</t>
  </si>
  <si>
    <t>Check</t>
  </si>
  <si>
    <t>Diff</t>
  </si>
  <si>
    <t>Legal Last Name</t>
  </si>
  <si>
    <t>Legal First Name</t>
  </si>
  <si>
    <t>Legal full name</t>
  </si>
  <si>
    <t>Preferred Name</t>
  </si>
  <si>
    <t>Hire Status</t>
  </si>
  <si>
    <t>Last Hired Date</t>
  </si>
  <si>
    <t>Last Employment Date</t>
  </si>
  <si>
    <t>Business Department</t>
  </si>
  <si>
    <t>Department Code</t>
  </si>
  <si>
    <t>Position Title</t>
  </si>
  <si>
    <t>Employee Cost Center</t>
  </si>
  <si>
    <t>Cost Center Code</t>
  </si>
  <si>
    <t>Period</t>
  </si>
  <si>
    <t>Is Overseas Employee</t>
  </si>
  <si>
    <t>Years of Service</t>
  </si>
  <si>
    <t>Monthly Base Pay</t>
  </si>
  <si>
    <t>Base Pay 60001000</t>
  </si>
  <si>
    <t>Salary Adj 60001000</t>
  </si>
  <si>
    <t>Monthly Base Pay(Temp)</t>
  </si>
  <si>
    <t>Base Pay(Temp) 60101000</t>
  </si>
  <si>
    <t>Monthly Rental Reimbursement</t>
  </si>
  <si>
    <t>Rental Reimbursement 60001000</t>
  </si>
  <si>
    <t>Rental Reimbursement Adj 60001000</t>
  </si>
  <si>
    <t>Monthly Transport Allowance</t>
  </si>
  <si>
    <t>Transport Allowance 60409960</t>
  </si>
  <si>
    <t>Transport Allowance Adj 60409960</t>
  </si>
  <si>
    <t>Monthly Housing Allowance</t>
  </si>
  <si>
    <t>Housing Allowance 60409960</t>
  </si>
  <si>
    <t>Housing Allowance Adj 60409960</t>
  </si>
  <si>
    <t>Total EAO Adj 60409960</t>
  </si>
  <si>
    <t>Maternity Leave Payment 60001000</t>
  </si>
  <si>
    <t>Paternity Leave payment adjustment</t>
  </si>
  <si>
    <t>Paternity Leave Payment 60001000</t>
  </si>
  <si>
    <t>Adjustment of Parental Paid Time Off(PPTO)payment</t>
  </si>
  <si>
    <t>Paid Parental Time Off (PPTO) payment</t>
  </si>
  <si>
    <t>Sick Leave Payment 60001000</t>
  </si>
  <si>
    <t>Overtime Payment 99999999</t>
  </si>
  <si>
    <t>Annual Incentive 60201000</t>
  </si>
  <si>
    <t>Sales Incentive (Quantitative)   21201000</t>
  </si>
  <si>
    <t>Sales Incentive (Qualitative) 21201000</t>
  </si>
  <si>
    <t>Inspire Cash 60702000</t>
  </si>
  <si>
    <t>Inspire Points (Gross Up) 60701000</t>
  </si>
  <si>
    <t>Goods &amp; Services Differential 60601000</t>
  </si>
  <si>
    <t>Shares Dividend 60204001</t>
  </si>
  <si>
    <t>Red Packet 69001000</t>
  </si>
  <si>
    <t>Year End Bonus 60208000</t>
  </si>
  <si>
    <t>Gratuity Bonus 60208000</t>
  </si>
  <si>
    <t>Lump Sum Bonus 60409960</t>
  </si>
  <si>
    <t>Referral Bonus 69001000</t>
  </si>
  <si>
    <t>Sign On Bonus 60409960</t>
  </si>
  <si>
    <t>Retention Bonus 60409960</t>
  </si>
  <si>
    <t>Other Bonus 99999999</t>
  </si>
  <si>
    <t>Employee Award 60208000</t>
  </si>
  <si>
    <t>AP President Club 60208000</t>
  </si>
  <si>
    <t>Manager of the Year Award 60208000</t>
  </si>
  <si>
    <t>MD Award 60208000</t>
  </si>
  <si>
    <t>Other Rewards 99999999</t>
  </si>
  <si>
    <t>Other Allowance 60409960</t>
  </si>
  <si>
    <t>Education Benefits 99999999</t>
  </si>
  <si>
    <t>Flexible benefits</t>
  </si>
  <si>
    <t>Pensions 99999999</t>
  </si>
  <si>
    <t>Untaken Annual Leave Payment 60409960</t>
  </si>
  <si>
    <t>PIL ER to EE 60001000</t>
  </si>
  <si>
    <t>Back Pay 99999999</t>
  </si>
  <si>
    <t>Gratuities 99999999</t>
  </si>
  <si>
    <t>Termination Payment 99999999</t>
  </si>
  <si>
    <t>SP or LSP</t>
  </si>
  <si>
    <t>Severance Payment 60404000</t>
  </si>
  <si>
    <t>Long Service Payment 60409960</t>
  </si>
  <si>
    <t>IA Pay Split</t>
  </si>
  <si>
    <t>MPF Relevant Income</t>
  </si>
  <si>
    <t>MPF VC Relevant Income</t>
  </si>
  <si>
    <t>ORSO Relevant Income</t>
  </si>
  <si>
    <t>Employees' Compensation 60409960</t>
  </si>
  <si>
    <t>Non-taxable Item 21271000</t>
  </si>
  <si>
    <t>Medical Claim 60409960</t>
  </si>
  <si>
    <t>(Blank)</t>
  </si>
  <si>
    <t>Optional Group Upgrade 21351000</t>
  </si>
  <si>
    <t>Hypo Tax 60601000</t>
  </si>
  <si>
    <t>IA Pay Split by Host 60601000</t>
  </si>
  <si>
    <t>No Pay Leave Deduction 60001000</t>
  </si>
  <si>
    <t>NoPayLeaveCalculationBase_LastMonth</t>
  </si>
  <si>
    <t>Overtaken Annual Leave Deduct 60001000</t>
  </si>
  <si>
    <t>PIL EE to ER 60001000</t>
  </si>
  <si>
    <t>MPF EE VC Percentage</t>
  </si>
  <si>
    <t>MPF ER VC Percentage_Input</t>
  </si>
  <si>
    <t>MPF ER VC Percentage</t>
  </si>
  <si>
    <t>Percent Of ORSO EE</t>
  </si>
  <si>
    <t>Percent Of ORSO ER</t>
  </si>
  <si>
    <t>ORSO EE Contribution Rate</t>
  </si>
  <si>
    <t>ORSO ER Contribution Rate</t>
  </si>
  <si>
    <t>ORSO EE 60801000</t>
  </si>
  <si>
    <t>ORSO EE Adj</t>
  </si>
  <si>
    <t>ORSO ER Adj</t>
  </si>
  <si>
    <t>ORSO ER 60801000</t>
  </si>
  <si>
    <t>MPF EE MC 21251000</t>
  </si>
  <si>
    <t>MPF EE VC 21251000</t>
  </si>
  <si>
    <t>MPF ER MC 60801000</t>
  </si>
  <si>
    <t>MPF ER VC 60801000</t>
  </si>
  <si>
    <t>Net Pay Adj Positive 21011900</t>
  </si>
  <si>
    <t>Net Pay Adj Negative 21011900</t>
  </si>
  <si>
    <t>Net Pay 21011900</t>
  </si>
  <si>
    <t>(Blank2)</t>
  </si>
  <si>
    <t>InspirePoints</t>
  </si>
  <si>
    <t>ECO Income</t>
  </si>
  <si>
    <t>Total ECO Income_Pre12Month(Include current month)</t>
  </si>
  <si>
    <t>Severance Payment over cap</t>
  </si>
  <si>
    <t>Long Service Payment over cap</t>
  </si>
  <si>
    <t>Retire Scheme Payment 99999999</t>
  </si>
  <si>
    <t>Salaries Tax Paid by Employer 60601000</t>
  </si>
  <si>
    <t>Share Option 99999999</t>
  </si>
  <si>
    <t>Year End Bonus Accrual 60208000</t>
  </si>
  <si>
    <t>EAO Accrual 60409960</t>
  </si>
  <si>
    <t>Days_balance for accrual</t>
  </si>
  <si>
    <t>AL Accrual Base_Rewrite</t>
  </si>
  <si>
    <t>Annual Leave Accrual 60409960</t>
  </si>
  <si>
    <t>ORSO Admin Fee 60801000</t>
  </si>
  <si>
    <t>Gratuity Bonus_Rewrite</t>
  </si>
  <si>
    <t>ExchangeRate</t>
  </si>
  <si>
    <t>AP President Club (US Dollars)</t>
  </si>
  <si>
    <t>EAO Gross Income</t>
  </si>
  <si>
    <t>EAO Gross OT</t>
  </si>
  <si>
    <t>EAO Days</t>
  </si>
  <si>
    <t>PPTO EAO Rate input</t>
  </si>
  <si>
    <t>Contract End Date(Temp EE)</t>
  </si>
  <si>
    <t>YearEndBonusStore-Dec</t>
  </si>
  <si>
    <t>YearEndBonusStore-Unpaid</t>
  </si>
  <si>
    <t>YEB Special Start Date</t>
  </si>
  <si>
    <t>YEB Special End Date</t>
  </si>
  <si>
    <t>YEB Special Base</t>
  </si>
  <si>
    <t>Current Year Hire Begin Date</t>
  </si>
  <si>
    <t>Current Year Hire End Date</t>
  </si>
  <si>
    <t>CycleCutOffDate_LastMonth</t>
  </si>
  <si>
    <t>CycleCutOffDate</t>
  </si>
  <si>
    <t>Remark</t>
  </si>
  <si>
    <t>Pre-Transition YOS</t>
  </si>
  <si>
    <t>Post-Transition YOS</t>
  </si>
  <si>
    <t>Pre-Transition SP/LSP</t>
  </si>
  <si>
    <t>Post-Transition SP/LSP</t>
  </si>
  <si>
    <t>Long Service Payment_New</t>
  </si>
  <si>
    <t>MSD Asia202510</t>
  </si>
  <si>
    <t>MERCK SHARP &amp; DOHME (ASIA) LIMITED</t>
  </si>
  <si>
    <t>MSD Asia</t>
  </si>
  <si>
    <t>GGG GG</t>
  </si>
  <si>
    <t>GGG GGG</t>
  </si>
  <si>
    <t>Active</t>
  </si>
  <si>
    <t>2022-04-11</t>
  </si>
  <si>
    <t>CAS-HONG KONG</t>
  </si>
  <si>
    <t>Sr SPEC-Cons,Digital Activation,HHDDA-AP</t>
  </si>
  <si>
    <t>Row Labels</t>
  </si>
  <si>
    <t>Count of WEIN</t>
  </si>
  <si>
    <t>Grand Total</t>
  </si>
  <si>
    <t>Jul</t>
  </si>
  <si>
    <t>Aug</t>
  </si>
  <si>
    <t>Payroll HC</t>
  </si>
  <si>
    <t>Current Month Terminated HC(included)</t>
  </si>
  <si>
    <t>Current Month Terminated HC(OC)</t>
  </si>
  <si>
    <t>Previous Month Terminated HC(included)</t>
  </si>
  <si>
    <t>Current Month New HC</t>
  </si>
  <si>
    <t>Workforce_CurrentMonth</t>
  </si>
  <si>
    <t>4EE change salary, rounding issue</t>
  </si>
  <si>
    <t>Formula</t>
  </si>
  <si>
    <t>Allowance_CurrentMonth</t>
  </si>
  <si>
    <t>Andrew Monthly 40000</t>
  </si>
  <si>
    <t>Formula: roundup</t>
  </si>
  <si>
    <t>Offline: one time</t>
  </si>
  <si>
    <t>Offline: IA</t>
  </si>
  <si>
    <t>Offline:upgrade</t>
  </si>
  <si>
    <t>Ofline: Inspire</t>
  </si>
  <si>
    <t>Check LastPR</t>
  </si>
  <si>
    <t>Check WR</t>
  </si>
  <si>
    <t>Diff.</t>
  </si>
  <si>
    <t>Check WR - Business Title</t>
  </si>
  <si>
    <t>AL Days_LastM</t>
  </si>
  <si>
    <t>Annual Leave calculation base-EAO rate_LastM</t>
  </si>
  <si>
    <t>AL Days_CurrentM</t>
  </si>
  <si>
    <t>Annual Leave calculation base-EAO rate_CurrentM</t>
  </si>
  <si>
    <t>Probation Expired</t>
  </si>
  <si>
    <t>MSD Asia202502</t>
  </si>
  <si>
    <t>51509685</t>
  </si>
  <si>
    <t>Kei Fong</t>
  </si>
  <si>
    <t>Wu</t>
  </si>
  <si>
    <t>2025-02-06</t>
  </si>
  <si>
    <t>HK Macau Team (DS)</t>
  </si>
  <si>
    <t>Customer Rep., Sales GHH</t>
  </si>
  <si>
    <t>12630105</t>
  </si>
  <si>
    <t>202502</t>
  </si>
  <si>
    <t>N</t>
  </si>
  <si>
    <t>新员工，未满60天不缴纳</t>
  </si>
  <si>
    <t>2025-12-31</t>
  </si>
  <si>
    <t>2025-01-10</t>
  </si>
  <si>
    <t>2025-02-10</t>
  </si>
  <si>
    <t>51416201</t>
  </si>
  <si>
    <t>Tong</t>
  </si>
  <si>
    <t>Kin Yi</t>
  </si>
  <si>
    <t>Gloria</t>
  </si>
  <si>
    <t>2023-02-06</t>
  </si>
  <si>
    <t>MRL HKG GCTO</t>
  </si>
  <si>
    <t>CRA</t>
  </si>
  <si>
    <t>12630167</t>
  </si>
  <si>
    <t>2025-01-01</t>
  </si>
  <si>
    <t>51425942</t>
  </si>
  <si>
    <t>Ho</t>
  </si>
  <si>
    <t>Yuk Kam</t>
  </si>
  <si>
    <t>Kana</t>
  </si>
  <si>
    <t>Sr Specialist - Consumer, Digital Activation, HHDDA- Asia Pacific</t>
  </si>
  <si>
    <t>12630420</t>
  </si>
  <si>
    <t>33900515</t>
  </si>
  <si>
    <t>Mak</t>
  </si>
  <si>
    <t>Wai Wah</t>
  </si>
  <si>
    <t>Norris</t>
  </si>
  <si>
    <t>2021-04-19</t>
  </si>
  <si>
    <t>HK VACCINE (MA)</t>
  </si>
  <si>
    <t>Business Unit Director, Vaccines</t>
  </si>
  <si>
    <t>12630102</t>
  </si>
  <si>
    <t>51443582</t>
  </si>
  <si>
    <t>Lam</t>
  </si>
  <si>
    <t>PO KIN JONATHAN</t>
  </si>
  <si>
    <t>Jonathan</t>
  </si>
  <si>
    <t>2024-09-30</t>
  </si>
  <si>
    <t>AH SALES ADMIN</t>
  </si>
  <si>
    <t>Assoc. Spclst., Regulatory Affairs</t>
  </si>
  <si>
    <t>12630417</t>
  </si>
  <si>
    <t>51317350</t>
  </si>
  <si>
    <t>Chau</t>
  </si>
  <si>
    <t>Wing Yan Rene</t>
  </si>
  <si>
    <t>Rene</t>
  </si>
  <si>
    <t>2018-08-01</t>
  </si>
  <si>
    <t>MRL HKG GMVC</t>
  </si>
  <si>
    <t>Dir, V&amp;I GMVC, AP HUB, Scientific Ops, Team Lead</t>
  </si>
  <si>
    <t>12630364</t>
  </si>
  <si>
    <t>51026180</t>
  </si>
  <si>
    <t>Leung</t>
  </si>
  <si>
    <t>Kin Yue Francis</t>
  </si>
  <si>
    <t>Francis</t>
  </si>
  <si>
    <t>2014-08-25</t>
  </si>
  <si>
    <t>CRD</t>
  </si>
  <si>
    <t>51447820</t>
  </si>
  <si>
    <t>Fong</t>
  </si>
  <si>
    <t>Hang Kit</t>
  </si>
  <si>
    <t>2022-11-14</t>
  </si>
  <si>
    <t>Sr. CRA</t>
  </si>
  <si>
    <t>51302892</t>
  </si>
  <si>
    <t>Li</t>
  </si>
  <si>
    <t>Wing Ki</t>
  </si>
  <si>
    <t>Stella</t>
  </si>
  <si>
    <t>2018-02-12</t>
  </si>
  <si>
    <t>HK Public Sector Access</t>
  </si>
  <si>
    <t>Policy &amp; Corporate Affairs Lead</t>
  </si>
  <si>
    <t>12630108</t>
  </si>
  <si>
    <t>51505904</t>
  </si>
  <si>
    <t>Tam</t>
  </si>
  <si>
    <t>Yin Kei</t>
  </si>
  <si>
    <t>2025-01-02</t>
  </si>
  <si>
    <t>MRL HKG GRA INTL</t>
  </si>
  <si>
    <t>Regulatory Affairs Associate (Pharmacy Intern)</t>
  </si>
  <si>
    <t>12630168</t>
  </si>
  <si>
    <t>10233093</t>
  </si>
  <si>
    <t>Wong</t>
  </si>
  <si>
    <t>Hoi Yan Pamela</t>
  </si>
  <si>
    <t>Pamela</t>
  </si>
  <si>
    <t>2008-09-08</t>
  </si>
  <si>
    <t>IT Global Infrastructure Operations - HK</t>
  </si>
  <si>
    <t>Director, Strategist, Foundational Platforms</t>
  </si>
  <si>
    <t>12630026</t>
  </si>
  <si>
    <t>51167064</t>
  </si>
  <si>
    <t>Siu Yan</t>
  </si>
  <si>
    <t>Sharon</t>
  </si>
  <si>
    <t>2013-03-18</t>
  </si>
  <si>
    <t>HK Direct Selling - Oncology</t>
  </si>
  <si>
    <t>Associate Sales Manager, Oncology</t>
  </si>
  <si>
    <t>12630118</t>
  </si>
  <si>
    <t>51445144</t>
  </si>
  <si>
    <t>Lin</t>
  </si>
  <si>
    <t>Nga Man</t>
  </si>
  <si>
    <t>Carman</t>
  </si>
  <si>
    <t>2022-12-06</t>
  </si>
  <si>
    <t>COM</t>
  </si>
  <si>
    <t>51490540</t>
  </si>
  <si>
    <t>Wan</t>
  </si>
  <si>
    <t>Woon See Claudia</t>
  </si>
  <si>
    <t>2024-05-13</t>
  </si>
  <si>
    <t>CTC</t>
  </si>
  <si>
    <t>51090149</t>
  </si>
  <si>
    <t>Iu</t>
  </si>
  <si>
    <t>Hoi Yan</t>
  </si>
  <si>
    <t>Orlean</t>
  </si>
  <si>
    <t>2011-12-12</t>
  </si>
  <si>
    <t>Regulatory Affairs Manager</t>
  </si>
  <si>
    <t>51477071</t>
  </si>
  <si>
    <t>Choi</t>
  </si>
  <si>
    <t>Ching Ha Pamela</t>
  </si>
  <si>
    <t>2024-01-02</t>
  </si>
  <si>
    <t>Senior Regulatory Affairs Associate</t>
  </si>
  <si>
    <t>33900076</t>
  </si>
  <si>
    <t>Chu</t>
  </si>
  <si>
    <t>Wai Kwan Agnes</t>
  </si>
  <si>
    <t>Agnes</t>
  </si>
  <si>
    <t>1992-01-06</t>
  </si>
  <si>
    <t>Follow Payroll system date</t>
  </si>
  <si>
    <t>Distribution &amp; Logistics - HK</t>
  </si>
  <si>
    <t>SCM Lead, Hong Kong</t>
  </si>
  <si>
    <t>12630165</t>
  </si>
  <si>
    <t>51443693</t>
  </si>
  <si>
    <t>Tse</t>
  </si>
  <si>
    <t>Wai ling</t>
  </si>
  <si>
    <t>Elva</t>
  </si>
  <si>
    <t>2022-09-26</t>
  </si>
  <si>
    <t>Specialist - Solutions, Decision Science, HHDDA- Asia Pacific</t>
  </si>
  <si>
    <t>51430650</t>
  </si>
  <si>
    <t>Sze Ching</t>
  </si>
  <si>
    <t>Natalie</t>
  </si>
  <si>
    <t>2022-06-13</t>
  </si>
  <si>
    <t>Customer Rep., Sales ONC</t>
  </si>
  <si>
    <t>51301103</t>
  </si>
  <si>
    <t>Khan</t>
  </si>
  <si>
    <t>Tsz Kin Aaron</t>
  </si>
  <si>
    <t>Aaron</t>
  </si>
  <si>
    <t>2018-01-29</t>
  </si>
  <si>
    <t>MRL HKG MEDICAL AFFAIRS</t>
  </si>
  <si>
    <t>Therapeutic Area Lead</t>
  </si>
  <si>
    <t>12630106</t>
  </si>
  <si>
    <t>51470677</t>
  </si>
  <si>
    <t>Pau</t>
  </si>
  <si>
    <t>King Man</t>
  </si>
  <si>
    <t>Brian</t>
  </si>
  <si>
    <t>2023-09-18</t>
  </si>
  <si>
    <t>CRA Manager</t>
  </si>
  <si>
    <t>10240817</t>
  </si>
  <si>
    <t>Siu Yuet</t>
  </si>
  <si>
    <t>Simmy</t>
  </si>
  <si>
    <t>2009-05-14</t>
  </si>
  <si>
    <t>HK Specialty Care (DS)</t>
  </si>
  <si>
    <t>Assistant Manager</t>
  </si>
  <si>
    <t>12630116</t>
  </si>
  <si>
    <t>10190450</t>
  </si>
  <si>
    <t>Lee</t>
  </si>
  <si>
    <t>Chin Yng Emily</t>
  </si>
  <si>
    <t>Emily</t>
  </si>
  <si>
    <t>2006-11-27</t>
  </si>
  <si>
    <t>Regulatory Affairs Director</t>
  </si>
  <si>
    <t>51501109</t>
  </si>
  <si>
    <t>Tang</t>
  </si>
  <si>
    <t>Wai Fan</t>
  </si>
  <si>
    <t>Fanny</t>
  </si>
  <si>
    <t>2024-09-23</t>
  </si>
  <si>
    <t>Human Resources - HK</t>
  </si>
  <si>
    <t>Spclst, HR Business Partner</t>
  </si>
  <si>
    <t>12630008</t>
  </si>
  <si>
    <t>51417920</t>
  </si>
  <si>
    <t>Chung</t>
  </si>
  <si>
    <t>Cho Sze</t>
  </si>
  <si>
    <t>Jo</t>
  </si>
  <si>
    <t>2022-01-17</t>
  </si>
  <si>
    <t>Human Resources Lead</t>
  </si>
  <si>
    <t>51294969</t>
  </si>
  <si>
    <t>Tsz Yan</t>
  </si>
  <si>
    <t>Gian</t>
  </si>
  <si>
    <t>2017-11-13</t>
  </si>
  <si>
    <t>HK Vaccine (DS)</t>
  </si>
  <si>
    <t>Key Account Manager</t>
  </si>
  <si>
    <t>12630115</t>
  </si>
  <si>
    <t>51507640</t>
  </si>
  <si>
    <t>Chan</t>
  </si>
  <si>
    <t>Yu Ki</t>
  </si>
  <si>
    <t>Jacky</t>
  </si>
  <si>
    <t>2025-01-03</t>
  </si>
  <si>
    <t>Sr. Customer Rep., Sales ONC</t>
  </si>
  <si>
    <t>51444085</t>
  </si>
  <si>
    <t>So</t>
  </si>
  <si>
    <t>Kam Wing</t>
  </si>
  <si>
    <t>Billy</t>
  </si>
  <si>
    <t>2022-10-03</t>
  </si>
  <si>
    <t>Associate Sales Manager</t>
  </si>
  <si>
    <t>51428359</t>
  </si>
  <si>
    <t>Siu Kwan</t>
  </si>
  <si>
    <t>Delius</t>
  </si>
  <si>
    <t>2022-05-30</t>
  </si>
  <si>
    <t>GLOBAL FRANCHISES-ONCOLOGY</t>
  </si>
  <si>
    <t>Assoc. Dir, Regional Marketing ONC</t>
  </si>
  <si>
    <t>12630044</t>
  </si>
  <si>
    <t>51455003</t>
  </si>
  <si>
    <t>Man Kee</t>
  </si>
  <si>
    <t>Maggie</t>
  </si>
  <si>
    <t>2023-03-01</t>
  </si>
  <si>
    <t>Lead, Business Insights &amp; Activation, HHDDA Hong Kong &amp; India</t>
  </si>
  <si>
    <t>51246689</t>
  </si>
  <si>
    <t>Loo</t>
  </si>
  <si>
    <t>Lok Hang</t>
  </si>
  <si>
    <t>2016-03-07</t>
  </si>
  <si>
    <t>Market Access Manager</t>
  </si>
  <si>
    <t>51358175</t>
  </si>
  <si>
    <t>Lai</t>
  </si>
  <si>
    <t>Kit Sum</t>
  </si>
  <si>
    <t>Sammi</t>
  </si>
  <si>
    <t>2023-09-25</t>
  </si>
  <si>
    <t>HK Comm Oper (SA)</t>
  </si>
  <si>
    <t>Administrative Associate</t>
  </si>
  <si>
    <t>12630222</t>
  </si>
  <si>
    <t>51251255</t>
  </si>
  <si>
    <t>Lok Yee</t>
  </si>
  <si>
    <t>Anna</t>
  </si>
  <si>
    <t>2016-07-04</t>
  </si>
  <si>
    <t>MRL HKG REG AFFAIRS OPS</t>
  </si>
  <si>
    <t>Regional Labeling Liaison</t>
  </si>
  <si>
    <t>12630408</t>
  </si>
  <si>
    <t>51190702</t>
  </si>
  <si>
    <t>Huang</t>
  </si>
  <si>
    <t>Lan</t>
  </si>
  <si>
    <t>2022-10-17</t>
  </si>
  <si>
    <t>Finance - HK</t>
  </si>
  <si>
    <t>Dir, Finance</t>
  </si>
  <si>
    <t>12630016</t>
  </si>
  <si>
    <t>51391533</t>
  </si>
  <si>
    <t>Shing</t>
  </si>
  <si>
    <t>Chun Yin</t>
  </si>
  <si>
    <t>Chris</t>
  </si>
  <si>
    <t>2021-04-07</t>
  </si>
  <si>
    <t>HK SPECIALTY CARE (MA)</t>
  </si>
  <si>
    <t>Business Unit Director, Pharmaceuticals &amp; Macau</t>
  </si>
  <si>
    <t>12630103</t>
  </si>
  <si>
    <t>51474203</t>
  </si>
  <si>
    <t>Cheung</t>
  </si>
  <si>
    <t>Man Lok</t>
  </si>
  <si>
    <t>Nelly</t>
  </si>
  <si>
    <t>2023-10-12</t>
  </si>
  <si>
    <t>Communication Manager</t>
  </si>
  <si>
    <t>51356635</t>
  </si>
  <si>
    <t>Lau</t>
  </si>
  <si>
    <t>On SiK</t>
  </si>
  <si>
    <t>Anthony</t>
  </si>
  <si>
    <t>2019-12-02</t>
  </si>
  <si>
    <t>Senior Sales Manager</t>
  </si>
  <si>
    <t>51428108</t>
  </si>
  <si>
    <t>Chiu</t>
  </si>
  <si>
    <t>Tsz Ying Ophelia</t>
  </si>
  <si>
    <t>Ophelia</t>
  </si>
  <si>
    <t>2023-07-03</t>
  </si>
  <si>
    <t>Regulatory Affairs Associate</t>
  </si>
  <si>
    <t>10194704</t>
  </si>
  <si>
    <t>Ka Ying</t>
  </si>
  <si>
    <t>Ada</t>
  </si>
  <si>
    <t>2021-12-01</t>
  </si>
  <si>
    <t>External Affairs Director</t>
  </si>
  <si>
    <t>51495415</t>
  </si>
  <si>
    <t>Sau Kei</t>
  </si>
  <si>
    <t>Elvis</t>
  </si>
  <si>
    <t>2024-07-22</t>
  </si>
  <si>
    <t>Associate Key Account Manager</t>
  </si>
  <si>
    <t>51217719</t>
  </si>
  <si>
    <t>Ling</t>
  </si>
  <si>
    <t>Kin Han Helena</t>
  </si>
  <si>
    <t>Helena</t>
  </si>
  <si>
    <t>2020-09-29</t>
  </si>
  <si>
    <t>Associate Product Manager</t>
  </si>
  <si>
    <t>51369455</t>
  </si>
  <si>
    <t>Yuen</t>
  </si>
  <si>
    <t>Tak Kar</t>
  </si>
  <si>
    <t>Gavin</t>
  </si>
  <si>
    <t>2020-06-22</t>
  </si>
  <si>
    <t>51295934</t>
  </si>
  <si>
    <t>Tai</t>
  </si>
  <si>
    <t>Siu Lun</t>
  </si>
  <si>
    <t>Kevin</t>
  </si>
  <si>
    <t>2017-11-10</t>
  </si>
  <si>
    <t>MRL HKG GS</t>
  </si>
  <si>
    <t>Senior Regional Pharmacovigilance Officer</t>
  </si>
  <si>
    <t>12630166</t>
  </si>
  <si>
    <t>51441627</t>
  </si>
  <si>
    <t>Ngan</t>
  </si>
  <si>
    <t>Hoi Lam</t>
  </si>
  <si>
    <t>Jason</t>
  </si>
  <si>
    <t>2022-09-19</t>
  </si>
  <si>
    <t>MRL HKG ONCOLOGY GMA</t>
  </si>
  <si>
    <t>Medical Advisor, Oncology</t>
  </si>
  <si>
    <t>12630107</t>
  </si>
  <si>
    <t>51452064</t>
  </si>
  <si>
    <t>Hiu Yan</t>
  </si>
  <si>
    <t>Jackie</t>
  </si>
  <si>
    <t>2023-01-09</t>
  </si>
  <si>
    <t>51464884</t>
  </si>
  <si>
    <t>Hung</t>
  </si>
  <si>
    <t>Ka Hei</t>
  </si>
  <si>
    <t>Keira</t>
  </si>
  <si>
    <t>2023-06-05</t>
  </si>
  <si>
    <t>Senior Professional Sales Representative</t>
  </si>
  <si>
    <t>51462981</t>
  </si>
  <si>
    <t>Mingshan</t>
  </si>
  <si>
    <t>Frankie</t>
  </si>
  <si>
    <t>2023-05-15</t>
  </si>
  <si>
    <t>Professional Sales Representative</t>
  </si>
  <si>
    <t>51442298</t>
  </si>
  <si>
    <t>Ho Yan</t>
  </si>
  <si>
    <t>Issac</t>
  </si>
  <si>
    <t>HK ONCOLOGY (MA)</t>
  </si>
  <si>
    <t>Marketing Manager</t>
  </si>
  <si>
    <t>12630100</t>
  </si>
  <si>
    <t>51461129</t>
  </si>
  <si>
    <t>Kwan</t>
  </si>
  <si>
    <t>Yat Tung</t>
  </si>
  <si>
    <t>Frank</t>
  </si>
  <si>
    <t>2023-04-24</t>
  </si>
  <si>
    <t>33990029</t>
  </si>
  <si>
    <t>Yu Tung Gloria</t>
  </si>
  <si>
    <t>2024-11-29</t>
  </si>
  <si>
    <t>COM Lead</t>
  </si>
  <si>
    <t>未过试用期</t>
  </si>
  <si>
    <t>51449285</t>
  </si>
  <si>
    <t>Hio Wa</t>
  </si>
  <si>
    <t>Anthea</t>
  </si>
  <si>
    <t>2023-01-04</t>
  </si>
  <si>
    <t>51482720</t>
  </si>
  <si>
    <t>Hin Lam</t>
  </si>
  <si>
    <t>Eunice</t>
  </si>
  <si>
    <t>2024-02-26</t>
  </si>
  <si>
    <t>HK ONCOLOGY ALLIANCE (DS)</t>
  </si>
  <si>
    <t>12630113</t>
  </si>
  <si>
    <t>33900325</t>
  </si>
  <si>
    <t>Man See Mancy</t>
  </si>
  <si>
    <t>Mancy</t>
  </si>
  <si>
    <t>1997-03-01</t>
  </si>
  <si>
    <t>HK MD Office</t>
  </si>
  <si>
    <t>Executive Secretary</t>
  </si>
  <si>
    <t>12630109</t>
  </si>
  <si>
    <t>超过65周岁没有MPF</t>
  </si>
  <si>
    <t>51232402</t>
  </si>
  <si>
    <t>Gu</t>
  </si>
  <si>
    <t>Pei Shan</t>
  </si>
  <si>
    <t>2015-09-01</t>
  </si>
  <si>
    <t>51068656</t>
  </si>
  <si>
    <t>Jen</t>
  </si>
  <si>
    <t>Che Lung</t>
  </si>
  <si>
    <t>2017-06-01</t>
  </si>
  <si>
    <t>Country Medical Lead &amp; Oncology Medical Lead</t>
  </si>
  <si>
    <t>51459366</t>
  </si>
  <si>
    <t>Ma</t>
  </si>
  <si>
    <t>Sze Wai</t>
  </si>
  <si>
    <t>Correct in ADP</t>
  </si>
  <si>
    <t>Joyce</t>
  </si>
  <si>
    <t>2023-04-03</t>
  </si>
  <si>
    <t>51315251</t>
  </si>
  <si>
    <t>Pui Shan</t>
  </si>
  <si>
    <t>Catherine</t>
  </si>
  <si>
    <t>2018-07-16</t>
  </si>
  <si>
    <t>IT Client Services - HK</t>
  </si>
  <si>
    <t>Specialist, Market Business Technologist , Asia Pacific IT</t>
  </si>
  <si>
    <t>12630021</t>
  </si>
  <si>
    <t>51487891</t>
  </si>
  <si>
    <t>Cheuk Ying, Valica</t>
  </si>
  <si>
    <t>Valica</t>
  </si>
  <si>
    <t>2024-06-17</t>
  </si>
  <si>
    <t>51122544</t>
  </si>
  <si>
    <t>Mok</t>
  </si>
  <si>
    <t>Chun Wai</t>
  </si>
  <si>
    <t>Ivan</t>
  </si>
  <si>
    <t>2012-04-10</t>
  </si>
  <si>
    <t>51459612</t>
  </si>
  <si>
    <t>Tsun Ho</t>
  </si>
  <si>
    <t>Max</t>
  </si>
  <si>
    <t>2023-04-04</t>
  </si>
  <si>
    <t>51232018</t>
  </si>
  <si>
    <t>Pui Kit</t>
  </si>
  <si>
    <t>Kit</t>
  </si>
  <si>
    <t>2018-01-01</t>
  </si>
  <si>
    <t>Associate Analyst</t>
  </si>
  <si>
    <t>51473614</t>
  </si>
  <si>
    <t>Wai Fong</t>
  </si>
  <si>
    <t>Pam</t>
  </si>
  <si>
    <t>2023-09-26</t>
  </si>
  <si>
    <t>Senior Business Practices Officer</t>
  </si>
  <si>
    <t>39490005</t>
  </si>
  <si>
    <t>Ng</t>
  </si>
  <si>
    <t>Kam Fong</t>
  </si>
  <si>
    <t>Mabel</t>
  </si>
  <si>
    <t>2008-05-05</t>
  </si>
  <si>
    <t>Accountant</t>
  </si>
  <si>
    <t>51223532</t>
  </si>
  <si>
    <t>Cheng</t>
  </si>
  <si>
    <t>Wai Ki</t>
  </si>
  <si>
    <t>Helen</t>
  </si>
  <si>
    <t>2015-05-18</t>
  </si>
  <si>
    <t>Assoc Dir, V&amp;I GMVC, AP HUB, GEMS</t>
  </si>
  <si>
    <t>51425313</t>
  </si>
  <si>
    <t>Wing Sze</t>
  </si>
  <si>
    <t>Celia</t>
  </si>
  <si>
    <t>2022-03-07</t>
  </si>
  <si>
    <t>Senior Key Account Manager</t>
  </si>
  <si>
    <t>51419948</t>
  </si>
  <si>
    <t>So San</t>
  </si>
  <si>
    <t>2022-02-07</t>
  </si>
  <si>
    <t>HK ONCOLOGY ALLIANCE (MA)</t>
  </si>
  <si>
    <t>12630101</t>
  </si>
  <si>
    <t>51471969</t>
  </si>
  <si>
    <t>LI</t>
  </si>
  <si>
    <t>JIATONG</t>
  </si>
  <si>
    <t>Mandy</t>
  </si>
  <si>
    <t>2023-09-05</t>
  </si>
  <si>
    <t>10179194</t>
  </si>
  <si>
    <t>Wai Shing</t>
  </si>
  <si>
    <t>Vincent</t>
  </si>
  <si>
    <t>2021-01-01</t>
  </si>
  <si>
    <t>MANAGING DIRECTOR OFFICE – TAIWAN</t>
  </si>
  <si>
    <t>Managing Director Taiwan</t>
  </si>
  <si>
    <t>12630410</t>
  </si>
  <si>
    <t>51405878</t>
  </si>
  <si>
    <t>Fung</t>
  </si>
  <si>
    <t>Wing Yee</t>
  </si>
  <si>
    <t>Stella Fung</t>
  </si>
  <si>
    <t>2021-08-16</t>
  </si>
  <si>
    <t>51423067</t>
  </si>
  <si>
    <t>Man Sin</t>
  </si>
  <si>
    <t>2022-02-14</t>
  </si>
  <si>
    <t>Business Development Manager</t>
  </si>
  <si>
    <t>51490077</t>
  </si>
  <si>
    <t>Hoi Ki</t>
  </si>
  <si>
    <t>Hoiki</t>
  </si>
  <si>
    <t>2024-05-16</t>
  </si>
  <si>
    <t>Specialist - Consumer, Digital Activation, HHDDA- Asia Pacific</t>
  </si>
  <si>
    <t>33900118</t>
  </si>
  <si>
    <t>Chuk</t>
  </si>
  <si>
    <t>Ling Cheung Andrew</t>
  </si>
  <si>
    <t>Andrew</t>
  </si>
  <si>
    <t>1994-05-01</t>
  </si>
  <si>
    <t>Legal - AP</t>
  </si>
  <si>
    <t>Sr. Counsel</t>
  </si>
  <si>
    <t>12630019</t>
  </si>
  <si>
    <t>51342433</t>
  </si>
  <si>
    <t>Tracy</t>
  </si>
  <si>
    <t>2022-07-12</t>
  </si>
  <si>
    <t>aCRM</t>
  </si>
  <si>
    <t>51402209</t>
  </si>
  <si>
    <t>Tsan Chung</t>
  </si>
  <si>
    <t>Joe Fung</t>
  </si>
  <si>
    <t>2021-07-21</t>
  </si>
  <si>
    <t>51446986</t>
  </si>
  <si>
    <t>Kong</t>
  </si>
  <si>
    <t>De Xuan</t>
  </si>
  <si>
    <t>2022-11-01</t>
  </si>
  <si>
    <t>51338658</t>
  </si>
  <si>
    <t>Suet Sum</t>
  </si>
  <si>
    <t>Paula</t>
  </si>
  <si>
    <t>2022-09-08</t>
  </si>
  <si>
    <t>51426441</t>
  </si>
  <si>
    <t>HO</t>
  </si>
  <si>
    <t>UN SIN</t>
  </si>
  <si>
    <t>Esther</t>
  </si>
  <si>
    <t>2022-04-14</t>
  </si>
  <si>
    <t>Sales Manager</t>
  </si>
  <si>
    <t>51372768</t>
  </si>
  <si>
    <t>Grace</t>
  </si>
  <si>
    <t>2020-08-12</t>
  </si>
  <si>
    <t>Marketing Executive</t>
  </si>
  <si>
    <t>51420425</t>
  </si>
  <si>
    <t>Fan</t>
  </si>
  <si>
    <t>Christy</t>
  </si>
  <si>
    <t>CRM</t>
  </si>
  <si>
    <t>51480831</t>
  </si>
  <si>
    <t>Chi Ian</t>
  </si>
  <si>
    <t>Jenny</t>
  </si>
  <si>
    <t>2024-01-24</t>
  </si>
  <si>
    <t>51113131</t>
  </si>
  <si>
    <t>Yip</t>
  </si>
  <si>
    <t>Kit Yan</t>
  </si>
  <si>
    <t>Debbie</t>
  </si>
  <si>
    <t>2012-02-03</t>
  </si>
  <si>
    <t>Dir., Business Unit</t>
  </si>
  <si>
    <t>51424295</t>
  </si>
  <si>
    <t>Shek Yan</t>
  </si>
  <si>
    <t>2022-03-01</t>
  </si>
  <si>
    <t>51505701</t>
  </si>
  <si>
    <t>Au Yeung</t>
  </si>
  <si>
    <t>Wing Yan Maggie</t>
  </si>
  <si>
    <t>2025-01-06</t>
  </si>
  <si>
    <t>MRL HKG GCTO QCI</t>
  </si>
  <si>
    <t>Assoc. Dir, Clinical Research</t>
  </si>
  <si>
    <t>12630172</t>
  </si>
  <si>
    <t>51288840</t>
  </si>
  <si>
    <t>Yiu Ting</t>
  </si>
  <si>
    <t>Eric</t>
  </si>
  <si>
    <t>2017-08-07</t>
  </si>
  <si>
    <t>GLOBAL PUBLIC POLICY - HONG KONG</t>
  </si>
  <si>
    <t>Assoc. Dir, Policy/Govern. Relations</t>
  </si>
  <si>
    <t>12630379</t>
  </si>
  <si>
    <t>51333330</t>
  </si>
  <si>
    <t>Sum</t>
  </si>
  <si>
    <t>Chung Yee</t>
  </si>
  <si>
    <t>Joey</t>
  </si>
  <si>
    <t>51066840</t>
  </si>
  <si>
    <t>Tsz Nok</t>
  </si>
  <si>
    <t>Cristiano</t>
  </si>
  <si>
    <t>2011-03-21</t>
  </si>
  <si>
    <t>33900398</t>
  </si>
  <si>
    <t>Kwong</t>
  </si>
  <si>
    <t>Jonan</t>
  </si>
  <si>
    <t>2000-06-19</t>
  </si>
  <si>
    <t>Senior Sales Force Effectiveness Manager</t>
  </si>
  <si>
    <t>51412889</t>
  </si>
  <si>
    <t>Sze Chai</t>
  </si>
  <si>
    <t>Veronica</t>
  </si>
  <si>
    <t>2021-11-08</t>
  </si>
  <si>
    <t>Finance Manager</t>
  </si>
  <si>
    <t>51501335</t>
  </si>
  <si>
    <t>LO</t>
  </si>
  <si>
    <t>Wing Yan</t>
  </si>
  <si>
    <t>Charlotte</t>
  </si>
  <si>
    <t>2024-10-21</t>
  </si>
  <si>
    <t>Assoc. Spclst, Supply Chain Management</t>
  </si>
  <si>
    <t>33900254</t>
  </si>
  <si>
    <t>Chow</t>
  </si>
  <si>
    <t>Chun Chun</t>
  </si>
  <si>
    <t>Annie</t>
  </si>
  <si>
    <t>1995-03-01</t>
  </si>
  <si>
    <t>51233853</t>
  </si>
  <si>
    <t>Tsz Lam</t>
  </si>
  <si>
    <t>Angel</t>
  </si>
  <si>
    <t>2016-08-01</t>
  </si>
  <si>
    <t>Senior Product Manager</t>
  </si>
  <si>
    <t>MPF VC rate retro to Jan</t>
  </si>
  <si>
    <t>51058535</t>
  </si>
  <si>
    <t>Cheuk</t>
  </si>
  <si>
    <t>Shing Ching</t>
  </si>
  <si>
    <t>Edmund</t>
  </si>
  <si>
    <t>2010-12-06</t>
  </si>
  <si>
    <t>Senior Regional Support Officer</t>
  </si>
  <si>
    <t>51390421</t>
  </si>
  <si>
    <t>Chun Ming</t>
  </si>
  <si>
    <t>Nick</t>
  </si>
  <si>
    <t>2021-03-22</t>
  </si>
  <si>
    <t>Country Pharmacovigilance Lead</t>
  </si>
  <si>
    <t>51497378</t>
  </si>
  <si>
    <t>Angie Yuen Man</t>
  </si>
  <si>
    <t>Angie</t>
  </si>
  <si>
    <t>2024-09-24</t>
  </si>
  <si>
    <t>53117172</t>
  </si>
  <si>
    <t>Wai Man Anita</t>
  </si>
  <si>
    <t>Anita</t>
  </si>
  <si>
    <t>2008-10-27</t>
  </si>
  <si>
    <t>Senior Administrative Associate</t>
  </si>
  <si>
    <t>51490326</t>
  </si>
  <si>
    <t>Carol Sin Kun</t>
  </si>
  <si>
    <t>Carol</t>
  </si>
  <si>
    <t>Sr. CTC</t>
  </si>
  <si>
    <t>51332645</t>
  </si>
  <si>
    <t>Nicole Susanne</t>
  </si>
  <si>
    <t>Nicole</t>
  </si>
  <si>
    <t>aCOM-II</t>
  </si>
  <si>
    <t>51200755</t>
  </si>
  <si>
    <t>Yeung Lam</t>
  </si>
  <si>
    <t>2014-09-01</t>
  </si>
  <si>
    <t>51436721</t>
  </si>
  <si>
    <t>Sze Chun</t>
  </si>
  <si>
    <t>Lawrence</t>
  </si>
  <si>
    <t>2022-08-08</t>
  </si>
  <si>
    <t>Sr. Specialist, Business Technology Partner</t>
  </si>
  <si>
    <t>33900246</t>
  </si>
  <si>
    <t>Chui Fun</t>
  </si>
  <si>
    <t>Victoria</t>
  </si>
  <si>
    <t>1994-11-14</t>
  </si>
  <si>
    <t>Paralegal</t>
  </si>
  <si>
    <t>51442204</t>
  </si>
  <si>
    <t>Xing</t>
  </si>
  <si>
    <t>Lei</t>
  </si>
  <si>
    <t>Rachel</t>
  </si>
  <si>
    <t>2022-09-30</t>
  </si>
  <si>
    <t>Medical Advisor</t>
  </si>
  <si>
    <t>51351121</t>
  </si>
  <si>
    <t>Lao</t>
  </si>
  <si>
    <t>Shi Jian</t>
  </si>
  <si>
    <t>Kim Lao</t>
  </si>
  <si>
    <t>2021-10-01</t>
  </si>
  <si>
    <t>Senior Medical Advisor</t>
  </si>
  <si>
    <t>33990001</t>
  </si>
  <si>
    <t>Kit Yi</t>
  </si>
  <si>
    <t>1998-04-14</t>
  </si>
  <si>
    <t>RBQM Strategy &amp; Implementation Lead (assignment)</t>
  </si>
  <si>
    <t>51443962</t>
  </si>
  <si>
    <t>51497341</t>
  </si>
  <si>
    <t>Emily Lok Yee</t>
  </si>
  <si>
    <t>51493309</t>
  </si>
  <si>
    <t>2024-07-02</t>
  </si>
  <si>
    <t>Associate Therapeutic Development Manager</t>
  </si>
  <si>
    <t>51451105</t>
  </si>
  <si>
    <t>Yeung</t>
  </si>
  <si>
    <t>Rigil Kent</t>
  </si>
  <si>
    <t>Rigil</t>
  </si>
  <si>
    <t>51491514</t>
  </si>
  <si>
    <t>Qi</t>
  </si>
  <si>
    <t>2024-05-20</t>
  </si>
  <si>
    <t>33900502</t>
  </si>
  <si>
    <t>Fu</t>
  </si>
  <si>
    <t>Ka Wai</t>
  </si>
  <si>
    <t>Amy</t>
  </si>
  <si>
    <t>2019-04-01</t>
  </si>
  <si>
    <t>33900500</t>
  </si>
  <si>
    <t>Patrick</t>
  </si>
  <si>
    <t>2004-06-21</t>
  </si>
  <si>
    <t>Market Access Lead</t>
  </si>
  <si>
    <t>51490562</t>
  </si>
  <si>
    <t>MA</t>
  </si>
  <si>
    <t>Man Fung</t>
  </si>
  <si>
    <t>Marketing Trainee</t>
  </si>
  <si>
    <t>33990015</t>
  </si>
  <si>
    <t>Ting Kwok</t>
  </si>
  <si>
    <t>Michael</t>
  </si>
  <si>
    <t>1999-06-14</t>
  </si>
  <si>
    <t>Sr. Dir, Regulatory Affairs</t>
  </si>
  <si>
    <t>33900483</t>
  </si>
  <si>
    <t>Poon</t>
  </si>
  <si>
    <t>Nga Ying</t>
  </si>
  <si>
    <t>Pauletta</t>
  </si>
  <si>
    <t>2003-10-13</t>
  </si>
  <si>
    <t>Assoc Dir, V&amp;I GMVC, AP HUB, Medical Ops, DPOC</t>
  </si>
  <si>
    <t>51463271</t>
  </si>
  <si>
    <t>Pui Yin Tiffany</t>
  </si>
  <si>
    <t>Tiffany</t>
  </si>
  <si>
    <t>2023-06-01</t>
  </si>
  <si>
    <t>33900380</t>
  </si>
  <si>
    <t>Hoi Hong</t>
  </si>
  <si>
    <t>Alex</t>
  </si>
  <si>
    <t>1999-08-02</t>
  </si>
  <si>
    <t>Commercial Operations Director</t>
  </si>
  <si>
    <t>51341067</t>
  </si>
  <si>
    <t>Lok To Von</t>
  </si>
  <si>
    <t>Von</t>
  </si>
  <si>
    <t>2019-04-11</t>
  </si>
  <si>
    <t>51218277</t>
  </si>
  <si>
    <t>Chi Lung</t>
  </si>
  <si>
    <t>Felix</t>
  </si>
  <si>
    <t>2022-11-22</t>
  </si>
  <si>
    <t>51462986</t>
  </si>
  <si>
    <t>TIN CHUNG</t>
  </si>
  <si>
    <t>Ambrose</t>
  </si>
  <si>
    <t>2023-05-17</t>
  </si>
  <si>
    <t>Sr Specialist- Modelling, Decision Science, HHDDA- Asia Pacific</t>
  </si>
  <si>
    <t>51465261</t>
  </si>
  <si>
    <t>Tsz Kwan</t>
  </si>
  <si>
    <t>Rita</t>
  </si>
  <si>
    <t>2023-06-26</t>
  </si>
  <si>
    <t>51271342</t>
  </si>
  <si>
    <t>Hsu</t>
  </si>
  <si>
    <t>Chung Danny</t>
  </si>
  <si>
    <t>Danny</t>
  </si>
  <si>
    <t>2022-10-07</t>
  </si>
  <si>
    <t>MRL HKG MEDICAL ONCOLOGY VN</t>
  </si>
  <si>
    <t>Prin Scientist, V&amp;I GMSA TA ONC, RDMA</t>
  </si>
  <si>
    <t>12630261</t>
  </si>
  <si>
    <t>33900406</t>
  </si>
  <si>
    <t>Suet Kwan</t>
  </si>
  <si>
    <t>Susanna</t>
  </si>
  <si>
    <t>2000-07-03</t>
  </si>
  <si>
    <t>51457709</t>
  </si>
  <si>
    <t>Chui Mei</t>
  </si>
  <si>
    <t>Ivy</t>
  </si>
  <si>
    <t>51312556</t>
  </si>
  <si>
    <t>Kit Wa</t>
  </si>
  <si>
    <t>2018-05-14</t>
  </si>
  <si>
    <t>Associate Market Access Manager</t>
  </si>
  <si>
    <t>51459604</t>
  </si>
  <si>
    <t>Au</t>
  </si>
  <si>
    <t>Sin Ying</t>
  </si>
  <si>
    <t>Marie</t>
  </si>
  <si>
    <t>2023-04-13</t>
  </si>
  <si>
    <t>51404774</t>
  </si>
  <si>
    <t>Tsz Long</t>
  </si>
  <si>
    <t>Winson</t>
  </si>
  <si>
    <t>Spclst, V&amp;I GMVC, AP HUB, Medical Ops</t>
  </si>
  <si>
    <t>51317615</t>
  </si>
  <si>
    <t>Varughese</t>
  </si>
  <si>
    <t>Anni</t>
  </si>
  <si>
    <t>2024-06-01</t>
  </si>
  <si>
    <t>Managing Director - Hong Kong &amp; Macau</t>
  </si>
  <si>
    <t>Y</t>
  </si>
  <si>
    <t>51417819</t>
  </si>
  <si>
    <t>Kwon</t>
  </si>
  <si>
    <t>Sukyung</t>
  </si>
  <si>
    <t>Sue</t>
  </si>
  <si>
    <t>51297305</t>
  </si>
  <si>
    <t>Hiu Lam</t>
  </si>
  <si>
    <t>Ginny</t>
  </si>
  <si>
    <t>2018-01-02</t>
  </si>
  <si>
    <t>Associate Regulatory Affairs Manager</t>
  </si>
  <si>
    <t>51467953</t>
  </si>
  <si>
    <t>Lo</t>
  </si>
  <si>
    <t>Tsz Ning</t>
  </si>
  <si>
    <t>Twinnie</t>
  </si>
  <si>
    <t>2023-07-17</t>
  </si>
  <si>
    <t>51486301</t>
  </si>
  <si>
    <t>Yuen Yan Vivien</t>
  </si>
  <si>
    <t>Vivien</t>
  </si>
  <si>
    <t>2024-04-23</t>
  </si>
  <si>
    <t>Learning &amp; Development Manager</t>
  </si>
  <si>
    <t>Total Rows: 130</t>
  </si>
  <si>
    <t>Salary Adj (Temp) 60101000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</si>
</sst>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76" formatCode="_(* #,##0.00_);_(* \(#,##0.00\);_(* &quot;-&quot;??_);_(@_)"/>
    <numFmt numFmtId="177" formatCode="[$-409]mmm/yy;@"/>
    <numFmt numFmtId="178" formatCode="0.00_ "/>
  </numFmts>
  <fonts count="19">
    <font>
      <sz val="11"/>
      <color indexed="8"/>
      <name val="等线"/>
      <charset val="134"/>
      <scheme val="minor"/>
    </font>
    <font>
      <b/>
      <sz val="11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7" tint="-0.249977111117893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indexed="8"/>
      <name val="Calibri"/>
      <family val="2"/>
    </font>
    <font>
      <sz val="11"/>
      <color indexed="8"/>
      <name val="等线"/>
      <family val="3"/>
      <charset val="134"/>
    </font>
    <font>
      <b/>
      <sz val="11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176" fontId="14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/>
    <xf numFmtId="177" fontId="14" fillId="0" borderId="0"/>
    <xf numFmtId="0" fontId="14" fillId="0" borderId="0"/>
    <xf numFmtId="0" fontId="15" fillId="0" borderId="0">
      <alignment vertical="center"/>
    </xf>
    <xf numFmtId="0" fontId="15" fillId="0" borderId="0"/>
    <xf numFmtId="0" fontId="14" fillId="0" borderId="0">
      <alignment vertical="center"/>
    </xf>
    <xf numFmtId="0" fontId="17" fillId="0" borderId="0"/>
    <xf numFmtId="0" fontId="15" fillId="0" borderId="0"/>
    <xf numFmtId="9" fontId="14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top" wrapText="1"/>
    </xf>
    <xf numFmtId="1" fontId="1" fillId="2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right"/>
    </xf>
    <xf numFmtId="1" fontId="2" fillId="3" borderId="0" xfId="0" applyNumberFormat="1" applyFont="1" applyFill="1" applyAlignment="1">
      <alignment horizontal="right"/>
    </xf>
    <xf numFmtId="14" fontId="3" fillId="0" borderId="0" xfId="0" applyNumberFormat="1" applyFont="1">
      <alignment vertical="center"/>
    </xf>
    <xf numFmtId="0" fontId="3" fillId="0" borderId="0" xfId="0" applyFont="1">
      <alignment vertical="center"/>
    </xf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" fontId="2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1" fillId="3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left"/>
    </xf>
    <xf numFmtId="178" fontId="0" fillId="0" borderId="0" xfId="0" applyNumberFormat="1">
      <alignment vertical="center"/>
    </xf>
    <xf numFmtId="1" fontId="7" fillId="0" borderId="0" xfId="0" applyNumberFormat="1" applyFont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8" fillId="0" borderId="1" xfId="0" applyFont="1" applyBorder="1">
      <alignment vertical="center"/>
    </xf>
    <xf numFmtId="0" fontId="8" fillId="3" borderId="1" xfId="0" applyFont="1" applyFill="1" applyBorder="1">
      <alignment vertical="center"/>
    </xf>
    <xf numFmtId="0" fontId="9" fillId="0" borderId="0" xfId="0" applyFont="1">
      <alignment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/>
    </xf>
    <xf numFmtId="1" fontId="11" fillId="0" borderId="0" xfId="0" applyNumberFormat="1" applyFont="1" applyFill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2" fontId="13" fillId="0" borderId="0" xfId="0" applyNumberFormat="1" applyFont="1" applyFill="1" applyAlignment="1">
      <alignment horizontal="right"/>
    </xf>
    <xf numFmtId="2" fontId="13" fillId="0" borderId="0" xfId="0" applyNumberFormat="1" applyFont="1" applyFill="1" applyAlignment="1">
      <alignment horizontal="center"/>
    </xf>
    <xf numFmtId="14" fontId="11" fillId="2" borderId="0" xfId="0" applyNumberFormat="1" applyFont="1" applyFill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 wrapText="1"/>
    </xf>
  </cellXfs>
  <cellStyles count="14">
    <cellStyle name="Comma 2" xfId="1"/>
    <cellStyle name="Comma 3" xfId="2"/>
    <cellStyle name="Comma 4" xfId="3"/>
    <cellStyle name="Comma 5" xfId="4"/>
    <cellStyle name="Comma 6" xfId="5"/>
    <cellStyle name="Normal 12" xfId="6"/>
    <cellStyle name="Normal 18 4" xfId="7"/>
    <cellStyle name="Normal 2" xfId="8"/>
    <cellStyle name="Normal 2 2" xfId="9"/>
    <cellStyle name="Normal 3 11" xfId="10"/>
    <cellStyle name="Normal 9" xfId="11"/>
    <cellStyle name="Normal_Barry_Q4_SIS_2P08 3_CV Januvia Team (Marco)" xfId="12"/>
    <cellStyle name="Percent 2" xfId="1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76" Type="http://schemas.openxmlformats.org/officeDocument/2006/relationships/externalLink" Target="externalLinks/externalLink73.xml"/><Relationship Id="rId84" Type="http://schemas.openxmlformats.org/officeDocument/2006/relationships/externalLink" Target="externalLinks/externalLink81.xml"/><Relationship Id="rId89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66" Type="http://schemas.openxmlformats.org/officeDocument/2006/relationships/externalLink" Target="externalLinks/externalLink63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87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90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styles" Target="style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fyu\My%20Documents\Florence%20Yu\Folder%20for%20doc\SSL\Payroll\Salaries%202009-1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Users\shutjzhou\Desktop\201109_DNEA(BBAC&amp;FJDA)%20Referen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AOP%20Templates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FCC\FTEs\1_FTE%20HR%20TOPAS\load%20FC%20web\2007\Actual%2007\FTE%20entry%20AP%20NA%20Q4%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ypapps\Private%20Data\BAP\2002%20AOP\Final%20Templat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WINDOWS\TEMP\PLBYL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e10nt3ks001\hrs_apac_payroll\Carneye\Op%20Review%20Schedul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Rulan%20Qian\Desktop\coca%20E-filing\IIT%20calculation%20for%20local\IIT%20calculation%200701\IIT%20calculation%20for%20ESOP%20Jan.07(SH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74.158.247\ecteam\Documents%20and%20Settings\azuma\&#12487;&#12473;&#12463;&#12488;&#12483;&#12503;\API&#65286;&#12501;&#12449;&#12452;&#12523;&#38917;&#30446;&#26696;&#65288;&#26666;&#24335;&#27880;&#25991;&#12486;&#12540;&#12502;&#12523;&#65289;\API&#65286;&#12501;&#12449;&#12452;&#12523;&#38917;&#30446;&#26696;&#65288;&#25237;&#20449;&#27880;&#25991;&#12486;&#12540;&#12502;&#12523;&#6528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business\FINANCE\Financial%20Reporting%20and%20Consolidation\2003\2003%20JEs%20&amp;%20Reconciliations\Revaluation\1810\Month%20Report%201999.6-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Headcount%20Report\Headcount%20Report%20-%20HHK\TOPAS%20Report\2009\Entries%20&amp;%20Exit%20Report-%20201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My%20Documents\TOPAS\TOPAS-BCS\Upload%20Template%20CoA%20Group%204%20E6E7\Accounting%202003\DOCUME~1\bh\LOCALS~1\Temp\C.Lotus.Notes.Data\Special%20Circ%60s_Asia-A3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July-03\030804.philips.act-0703.beij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rsonal\lvail_merck_com\Documents\Documents\HK%20Payroll\Blueprint_Setup%20Payroll-MSD%20HK-V20190925_CS&#33258;&#29992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Current\AccrualReport_Tool_201301_v1.0_Jessica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02_PayrollProcessing_Doc\01_PHi_Project\03-Philips%20payroll\Banking\E-banking%20file%20-%20LP-2012-12\201112\1112\IfileConvertor_v5.6_Philips%20HealthCare%20Suzhou%2020111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RMHK-HR\Payroll\2011\July%202011\AccountNumberVerification_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20070831.txt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May\CS\DNEA\201105_CN_DNEA_CS(6-0)_v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212.106\hr_ops\HR\C&amp;B\HSBC_Encrypted\25Feb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n0030\0_Winnie\0_Winnie\FY08\Payroll\&#22823;&#33457;&#34920;_M2_Dec_080120_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TEMP\IAS12_Standalone_V1_04_028-sh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Workingfolder\Tool\New_Tool_datacheck%20GS_Final%20update_201307_v1.0_Lorna_New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72f0\tab02%20-%20&#20154;&#20107;&#20449;&#24687;%20-%20&#19981;&#21547;&#21442;&#32771;&#20449;&#2468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Winzip\wz994b\tab02%20-%20&#20154;&#20107;&#20449;&#24687;%20-%20&#21547;&#21442;&#32771;&#20449;&#2468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Grace-LF.Guo\Desktop\tab00%20-%20&#37325;&#35201;&#20449;&#24687;%20-%20&#21547;&#21442;&#32771;&#20449;&#2468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WINDOWS\TEMP\notesFFF692\201203_LP%20Bonus_030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4101\C\C_1413_F_V\Firmen\Daimler%20AG\Authorization\New%20Authorization%20Process\2016%20(16-17)\Working%20Doc\Master%20Authorization%20Build%20File_3a&amp;3b_Final.xlsb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minzhu\Desktop\Grace\Documents%20and%20Settings\hpadmin\Desktop\new%20object\Payroll\PAYROLL%20SG%20SCO%20(FY10)%20AUG%2019%20S1_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HR\C&amp;B\MHAP_HR\HR\PENSION\Local_Scheme\MPF\MPF%20Calculator%2097%20(Version%204.0.0)_rege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Order%20Form-BPO%20V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Grace-LF.Guo\Desktop\Goldman\201209\05_Tool_%20Data%20Check%20for%20GS_201209_GSGH_v1.3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C.Lotus.Notes.Data\~78275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lv\1%20Project%20in%20implementation\64%20Kingfisher%20HK\4-Conversion\5_Monthly%20Data%20Collection%20Flexiform_KingfisherHK_V201907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7\P7%20Journal%20Entries\US%20Books\L100%20-%202286%20-%20Percentage%20Rent%20Entry%20-%20P7%20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DOCUME~1\wuy\LOCALS~1\Temp\IAS12_Standalone_V1_04_12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iub.AP\Local%20Settings\Temporary%20Internet%20Files\OLK1\EDS%20IFX%20Payment%20Summary_Apr-Ju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HTS%20Tracker%20%20Korea%20201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uixue.yu\Desktop\Client%2014-LKK%20HK\201507\uploadpayroll\New%20folder\tab01%20-%20Salary%20Information%20-%20with%20reference%20informat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WORK\WORK\June\CS\201102_CN_DNEA_CS(6-0)_v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%20P%20-%20Q\Philips\Tianxiang%20Shen\Material%20for%20reviewing-2008\Review%20Material%20for%20June%202008\Data%20File%20(June%2008)%20-%20PwC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SAP%20Head%20System%20HK%20Data\HK%20interface_HA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00_WorkingForlder\03_CN_TAX\05_BMW_PE\BMW%20data%20consolidation_20171220)_v3.0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core\RPTSTD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NT\TEMP\Computation%20Schedule%20-%202004-6-Juli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APP02\Tax\My%20Documents\Vanessa\IIT.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PRC%20Tax1\00_NewTaxPolicy\PRC%20Tax\Auchan_IIT_Tool_3.8_1807_20180902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illing\BRF\1805\Auchan\Auchan_GBT_China_May%202018.xls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5\Template\China%20Tax%20Template%20-%20Mayl%202012%20-%20BYD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B\BMW\MIIT\3%20-%20PE\2016\PE%20Summary\Temporary%20Worker\Batch%206\Ferdinand%20Mayr\IF_Mayr_Juli13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2\MIIT%20Testing-2012\1202\China%20Tax%20Template\China%20Tax%20Template%20-%20March%202012%20-%20to%20be%20completed-Template-DNE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AA%20Monthly%20Close\2007\P6\P6%20Internal%20Reports\Prelim%204%20-%20FINAL\P6%202007%20Financial%20Report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LIENT\Philips\Compliance\Actual\Apr-03\030508.philips.beijing.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1\iit\YuenPe\my%20doc\EB-Medical\census%20to%20mercer%20200903-revised%20medica%20_Life_PA_TUP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Tax%20Payments%20&amp;%20Refunds%20Tracking%20Sheet%20201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GSS%20Dalian\Users\SHENY33\Desktop\Doris'%20Folder\IIT%20annual%20filing\2015\IN%20Process\02_Garace_folder\20150217\15_IBM\newtool\New_IBM_Tax_Tool_v8.4-(20150803)_HK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AX-11\LETTERS\CISCO\COMPLIAN\Payroll\9908\Local%20BJ%20Registe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esrc\SRC%20Software\User\REPORTS\CHRISTIAN\GL%20Transaction%20Dril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sslmfs1\Home\Documents%20and%20Settings\hoovemi1.USA\My%20Documents\Accenture\Acenture%20Input%20Screen%201-28-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-%20Loc%20-%20Sample%20-Beij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C-1413\GEPO\Firmen\Daimler%20AG\SOP\Aus&#252;bungen\2008\Information%20Sheets\Spain\Outbound\Wuenstel,%20Ernst_%20ClaimingSheet_SOP%202003_amended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king\My%20Documents\2007\Month-end%20Close\P7-07\Inventory\Inventory%20-%20081807\D100a%20-%20Inventory%20Receipts%20-%20P7-07%20ADI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hbz\LOCALS~1\Temp\04%2007%202005_APCBF_%20DCK_Malaysia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Documents%20and%20Settings\cnh55535\Local%20Settings\Temporary%20Internet%20Files\Content.Outlook\A1JDE4BV\Incentive%20Bonus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notesFFF692\EY\01%20EY%20Working%20Files\Payroll%20Report\Accrual%20Review%20FY%2010\Regular%20accural\20111001\Whole%20China%20List%20template--201110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nestle%20IIT\Nestle%20China\Nestle-computation-II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watanabe\96-1-8\PaEMs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BANVAPFL10.ey.net\10BG5601\Users\Divya.Dharmalingam\Desktop\Global%20RI\Splits\2018\BASF%20Reporting%20Instruction%20Utility_07052018_2018%20Fx%20rates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8\1803\German%20Expats\Calculations\DGRC\By%20MW\Template\1703\Tax%20Template%20-%20March%202017%20-%20to%20be%20completed.xlsb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2.3.40\gss%20dalian\My%20Received%20Files\SAP%20whole%20data\SAP%20whole%20data\ERF-final\ERF-final\New%20Folder\SAS%20ERF%20Template-CSG-2%20PPM%20lack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Finacial%20Report\Month%20Report%201999.8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\TAX-HC-Extension\Returns\D\DaimlerChrysler\IIT%20compliance\2017%20Annual%20Filing\Control%20List\Daimler_2017_MASTER%20Control%20List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AX\TAX-12\IIT\Analog%20Devices\Return%20-%20Sample%20-Shenzhen%20-%20Loc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74\tax\Documents%20and%20Settings\maxwemi1\My%20Documents\Tools\TEQ\Seagate%202004%20TEQ%20Summary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FAD.BASF.NET\Global\DOCUME~1\ADMINI~1\LOCALS~1\Temp\notes32C5CD\CHINA%20INBOUND\Early%20Reporting\April%202012\Hash%20Total%20April%202012%20Compensation%20and%20Expense%20-%20Australia%20to%20China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Documents%20and%20Settings\carrie.zhao\My%20Documents\Carrie%20Zhao\IBM%20REVIEW\HTS\Template\IBM%20HTS%20Template%205.April.2012_FINAL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adpchina.cn.adp.com\Client\Kodak\Kodak%20Payroll\Document%20Library\Forms\Project%20Management%20Template%20V1.1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usrfl025\025sha00002\00_WorkingForlder\02_HK_Payroll\====00_New\EAO_Calculation_Tool_v3.8_20210615.xlsm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AppData\Local\Temp\Rar$DIa0.962\&#20154;&#21592;&#20449;&#24687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Nestle\01-Input\Expat\2017_10_&#20943;&#20813;&#31246;&#20154;&#21592;&#21517;&#21333;-NCL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VAPFL67.pacrim.ey.net\GSS%20Dalian\Users\Grace-LF.Guo\Desktop\&#23548;&#20986;&#34920;&#26684;\&#23548;&#20837;\&#20154;&#21592;&#20449;&#24687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hase%202%20Transition\RHQ%20Entities\RHQ%20Shenzhen\Filing\Filing%20-%201904\Kjgrsdsmx1904%20-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ing"/>
      <sheetName val="Particulars"/>
      <sheetName val="Letter_MPF Spex"/>
      <sheetName val="Letter_MPF Alt"/>
      <sheetName val="Letter_MPF Alternative"/>
      <sheetName val="Letter_MPF"/>
      <sheetName val="Letter_SS"/>
      <sheetName val="Letter_L"/>
      <sheetName val="Headcount"/>
      <sheetName val="Particular"/>
      <sheetName val="Conv"/>
      <sheetName val="payrol sum 0910"/>
      <sheetName val="YTD2"/>
      <sheetName val="YTD1"/>
      <sheetName val="YTD"/>
      <sheetName val="ORSA summary"/>
      <sheetName val="Mar 2010"/>
      <sheetName val="Feb 2010"/>
      <sheetName val="Jan 2010"/>
      <sheetName val="Dec 2009"/>
      <sheetName val="Nov 2009"/>
      <sheetName val="Oct 2009"/>
      <sheetName val="Sep 2009"/>
      <sheetName val="Aug 2009"/>
      <sheetName val="Jul 2009"/>
      <sheetName val="Jun 2009"/>
      <sheetName val="May 2009"/>
      <sheetName val="Apr 2009"/>
      <sheetName val="2009 Mar"/>
      <sheetName val="IIT_computation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"/>
      <sheetName val="rental"/>
      <sheetName val="tution"/>
      <sheetName val="driving license cost"/>
      <sheetName val="HL"/>
      <sheetName val="family car"/>
      <sheetName val="travel allowance"/>
      <sheetName val="Gym Card"/>
      <sheetName val="2nd car"/>
      <sheetName val="Travel"/>
      <sheetName val="Payment Categories"/>
      <sheetName val="Mapping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C HK_NA_AP"/>
      <sheetName val="SSC Hong Kong"/>
      <sheetName val="Regional Manila NA"/>
      <sheetName val="Regional Manila AP"/>
      <sheetName val="5-1. Social Benefits - SH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DRIVERS"/>
      <sheetName val="Contacts"/>
      <sheetName val="Section Break"/>
      <sheetName val="AOP SBU Trends"/>
      <sheetName val="Controls"/>
      <sheetName val="Control Actions"/>
      <sheetName val="Business Mix"/>
      <sheetName val="Market Share"/>
      <sheetName val="AOP Summary-1"/>
      <sheetName val="AOP Summary-2"/>
      <sheetName val="AOP P&amp;L"/>
      <sheetName val="AOP Sales Growth"/>
      <sheetName val="NI Bridge"/>
      <sheetName val="Costs"/>
      <sheetName val="Repositioning"/>
      <sheetName val="Supply  Management"/>
      <sheetName val="Six Sigma Summary"/>
      <sheetName val="IT Financial Profile"/>
      <sheetName val="Appl Initiatives"/>
      <sheetName val="Digitization Fin Summ"/>
      <sheetName val="AOP R&amp;D Detail"/>
      <sheetName val="AOP Cash Conversion"/>
      <sheetName val="CF Bridge"/>
      <sheetName val="AOP CWC-2"/>
      <sheetName val="AOP Receivables"/>
      <sheetName val="AOP Inventory "/>
      <sheetName val="AOP Trade Payables"/>
      <sheetName val="AOP CAPEX"/>
      <sheetName val="AOP Quarterly Key Ind"/>
      <sheetName val="AOP R&amp;O "/>
      <sheetName val="Contingencies"/>
      <sheetName val="Learning"/>
      <sheetName val="AOP SBE Trends"/>
      <sheetName val="AOP SBU SBE Totals "/>
      <sheetName val="AOP SBU SBE Totals-2"/>
      <sheetName val="BackUp"/>
      <sheetName val="AOP Inc. Stmt"/>
      <sheetName val="AOP FCF "/>
      <sheetName val="AOP CAPEX Detail"/>
      <sheetName val="AOP Avg. Inv."/>
      <sheetName val="AOP ROI"/>
      <sheetName val="AOP SBE ROI Leakers"/>
      <sheetName val="AOP Headcoun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B"/>
      <sheetName val="P&amp;L"/>
      <sheetName val="P&amp;L Q3"/>
      <sheetName val="BalSht"/>
      <sheetName val="FCF"/>
      <sheetName val="FCF YTD"/>
      <sheetName val="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i Wang"/>
      <sheetName val="Wei Ji"/>
      <sheetName val="Yu Qing Chen"/>
      <sheetName val="Jing Yi Sun "/>
      <sheetName val="Zhao Jie Xia"/>
      <sheetName val="Wen Sheng Li"/>
      <sheetName val="currency"/>
      <sheetName val="Val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改訂履歴"/>
      <sheetName val="テーブル定義"/>
      <sheetName val="改版履歴"/>
      <sheetName val="目次"/>
      <sheetName val="外部Function処理概要"/>
      <sheetName val="外部Function関連図"/>
      <sheetName val="使用Function・DAO一覧"/>
      <sheetName val="Function処理詳細"/>
      <sheetName val="単体チェック仕様"/>
      <sheetName val="DBチェック仕様"/>
      <sheetName val="ロック対象テーブル一覧"/>
      <sheetName val="テーブル参照仕様（国内株式注文サマリ）"/>
      <sheetName val="テーブル更新仕様(国内株式注文サマリ）"/>
      <sheetName val="テーブル登録仕様(国内株式注文移動管理)"/>
      <sheetName val="テーブル更新仕様(国内株式注文移動管理)"/>
      <sheetName val="OutDTO編集仕様"/>
      <sheetName val="Function処理詳細 (別紙)"/>
      <sheetName val="入力項目定義書"/>
      <sheetName val="出力項目定義書"/>
      <sheetName val="DataScope"/>
      <sheetName val="ListValue"/>
      <sheetName val="IR56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6"/>
      <sheetName val="Emplist1999.6"/>
      <sheetName val="Vacation1999.6"/>
      <sheetName val="Royalty 1999.6"/>
      <sheetName val="AGE 1999.6"/>
      <sheetName val="YENB1999.6"/>
      <sheetName val="Note1999.6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E template"/>
      <sheetName val="auswahl new"/>
      <sheetName val="Intercopany1999.6"/>
    </sheetNames>
    <sheetDataSet>
      <sheetData sheetId="0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hangerates"/>
      <sheetName val="Special Circ`s"/>
      <sheetName val="auswahl new"/>
    </sheetNames>
    <sheetDataSet>
      <sheetData sheetId="0" refreshError="1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 rate"/>
      <sheetName val="Lei Wang"/>
    </sheetNames>
    <sheetDataSet>
      <sheetData sheetId="0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Streamline Info"/>
      <sheetName val="Company Regesi Info"/>
      <sheetName val="Company Basic Info"/>
      <sheetName val="ESS Login Credentials"/>
      <sheetName val="Employee Master Data"/>
      <sheetName val="Fixed Pay"/>
      <sheetName val="Attendance Pay (EAO)"/>
      <sheetName val="Variable Pay"/>
      <sheetName val="NonPayable&amp;Adjustment"/>
      <sheetName val="Scenarios"/>
      <sheetName val="Termination Pay "/>
      <sheetName val="MPF&amp;ORSO"/>
      <sheetName val="Admin Timeline"/>
      <sheetName val="Net Pay"/>
      <sheetName val="IR56 Forms Option List"/>
      <sheetName val="SRF Mapping(SL Client Only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401-20130331"/>
      <sheetName val="Ref_Info"/>
      <sheetName val="Main"/>
      <sheetName val="Base_infor"/>
      <sheetName val="13th Salary"/>
      <sheetName val="Bonus"/>
      <sheetName val="Pension-I"/>
      <sheetName val="Pension-II"/>
      <sheetName val="Social_Insurance by Employer"/>
      <sheetName val="Social_Insurance by Employee"/>
      <sheetName val="Subsidy"/>
      <sheetName val="subsidy balance"/>
      <sheetName val="Vacation"/>
      <sheetName val="December_Subsidy Report"/>
      <sheetName val="LP AL Balance"/>
      <sheetName val="2012_13th Salary"/>
      <sheetName val="2012_Bonus"/>
      <sheetName val="2012_Pension_I"/>
      <sheetName val="2012_Pension_II"/>
      <sheetName val="2012_Social_Insurance by ER"/>
      <sheetName val="2012_Social_Insurance by EE"/>
      <sheetName val="2012_Vacation"/>
      <sheetName val="2012_Subsidy"/>
      <sheetName val="Sheet2"/>
      <sheetName val="Echange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page"/>
      <sheetName val="Configuration"/>
      <sheetName val="ACH"/>
      <sheetName val="LTR"/>
      <sheetName val="Vendor"/>
      <sheetName val="CSV"/>
      <sheetName val="Sheet1"/>
      <sheetName val="Ref_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"/>
      <sheetName val="Mar"/>
      <sheetName val="Mar(V)"/>
      <sheetName val="Mar-SIP(V)"/>
      <sheetName val="Apr"/>
      <sheetName val="Apr (V)"/>
      <sheetName val="May"/>
      <sheetName val="May (V)"/>
      <sheetName val="Jun"/>
      <sheetName val="Jun (V)"/>
      <sheetName val="Jul"/>
      <sheetName val="Jul (V)"/>
      <sheetName val="Aug"/>
      <sheetName val="Aug (V)"/>
      <sheetName val="Sept"/>
      <sheetName val="Sept (V)"/>
      <sheetName val="Oct"/>
      <sheetName val="Oct (V)"/>
      <sheetName val="Nov"/>
      <sheetName val="Nov (V)"/>
      <sheetName val="Dec"/>
      <sheetName val="Dec (V)"/>
      <sheetName val="Jan"/>
      <sheetName val="Jan (V)"/>
      <sheetName val="Feb11"/>
      <sheetName val="Feb11 (V)"/>
      <sheetName val="Mar11_SIP"/>
      <sheetName val="Mar11_SIP (V)"/>
      <sheetName val="Mar11"/>
      <sheetName val="Mar11 (V)"/>
      <sheetName val="Apr11"/>
      <sheetName val="Apr11(V)"/>
      <sheetName val="May11"/>
      <sheetName val="May11(V)"/>
      <sheetName val="Jun11"/>
      <sheetName val="Jun11(V)"/>
      <sheetName val="Jul11"/>
      <sheetName val="Jul11(V)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K interface_20070831"/>
      <sheetName val="Values"/>
      <sheetName val="Configuration"/>
      <sheetName val="Vendor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 (2)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  <sheetName val="Ref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BC MRI-3"/>
      <sheetName val="HSBC Submission Form"/>
      <sheetName val="MRI Setup"/>
      <sheetName val="Data"/>
      <sheetName val="Fe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大花表08"/>
      <sheetName val="08Calculation"/>
      <sheetName val="Payout"/>
      <sheetName val="Hold"/>
      <sheetName val="Release"/>
      <sheetName val="Claw back"/>
      <sheetName val="Configuration"/>
      <sheetName val="Ven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taxlosses (6)"/>
      <sheetName val="statetax (7)"/>
      <sheetName val="taxcredits (8)"/>
      <sheetName val="taxaccruals (9)"/>
      <sheetName val="consinfo (10)"/>
      <sheetName val="deftax (11)"/>
      <sheetName val="etrcalc (12)"/>
      <sheetName val="RECOentity (13)"/>
      <sheetName val="RECOgroup (14)"/>
      <sheetName val="Checkbox (16)"/>
      <sheetName val="BalAfterTax"/>
      <sheetName val="Assigne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_info"/>
      <sheetName val="Bonus_info2011"/>
      <sheetName val="Severance_info"/>
      <sheetName val="CoverLetter_Small"/>
      <sheetName val="CoverLetter_GSGH"/>
      <sheetName val="CoverLetter_GHBJ"/>
      <sheetName val="CoverLetter_Roccity"/>
      <sheetName val="Original"/>
      <sheetName val="Main"/>
      <sheetName val="Namelist"/>
      <sheetName val="SS"/>
      <sheetName val="Roccity"/>
      <sheetName val="Others"/>
      <sheetName val="GSBRO(USD)"/>
      <sheetName val="GSBRO"/>
      <sheetName val="GSSRO"/>
      <sheetName val="GSIB"/>
      <sheetName val="JAron"/>
      <sheetName val="GSBS"/>
      <sheetName val="GSGH"/>
      <sheetName val="GHHO"/>
      <sheetName val="GHBTO"/>
      <sheetName val="GHSTO"/>
      <sheetName val="GHSZTO"/>
      <sheetName val="Input"/>
      <sheetName val="Calculation_Sheet"/>
      <sheetName val="EntityFilter"/>
      <sheetName val="Upload_Template"/>
      <sheetName val="Local_in"/>
      <sheetName val="TCN_in"/>
      <sheetName val="TEQ_in"/>
      <sheetName val="Service_Fee_in"/>
      <sheetName val="Occasional_In"/>
      <sheetName val="Payroll_Summary_in"/>
      <sheetName val="Local"/>
      <sheetName val="TCN"/>
      <sheetName val="TEQ"/>
      <sheetName val="Service_Fee"/>
      <sheetName val="Payroll_Summary"/>
      <sheetName val="Occasional"/>
      <sheetName val="Local_Bonus_in"/>
      <sheetName val="TCN_Bonus_in"/>
      <sheetName val="TEQ_Bonus_in"/>
      <sheetName val="Local_Bonus"/>
      <sheetName val="TCN_Bonus"/>
      <sheetName val="TEQ_Bonus"/>
      <sheetName val="Cal_Backup"/>
      <sheetName val="Overseas_backup"/>
      <sheetName val="Summary_for_Banking"/>
      <sheetName val="OverseasBanking"/>
      <sheetName val="Overseas_Summary"/>
      <sheetName val="PayOut"/>
      <sheetName val="Ref"/>
      <sheetName val="PayItem"/>
      <sheetName val="IIT"/>
      <sheetName val="BalAfterTax"/>
      <sheetName val="corptax (3)"/>
      <sheetName val="deftax (11)"/>
      <sheetName val="taxrates (2)"/>
      <sheetName val="consinfo (10)"/>
      <sheetName val="datasource_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  <sheetName val="大花表08"/>
      <sheetName val="Ref"/>
      <sheetName val="Tax rate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事信息"/>
      <sheetName val="Sheet2"/>
    </sheetNames>
    <sheetDataSet>
      <sheetData sheetId="0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重要信息"/>
      <sheetName val="Sheet2"/>
    </sheetNames>
    <sheetDataSet>
      <sheetData sheetId="0"/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heet1"/>
      <sheetName val="Sheet2"/>
      <sheetName val="AI &amp;13th pay Summary"/>
      <sheetName val="LP namelis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uthorization - CY &amp; FY"/>
      <sheetName val="Sheet1"/>
      <sheetName val="Auth List Glossary"/>
      <sheetName val="1900-2100 List"/>
      <sheetName val="Country Liste"/>
      <sheetName val="Master Timet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 TSG"/>
      <sheetName val="Upload TSG (2)"/>
      <sheetName val="Workings"/>
      <sheetName val="Data Source"/>
      <sheetName val="Sheet1"/>
      <sheetName val="Auth List Glossary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Sheet1"/>
      <sheetName val="New Member"/>
      <sheetName val="W-Exist"/>
      <sheetName val="M-Exist"/>
      <sheetName val="BiM-Exist"/>
      <sheetName val="BiW-Exist"/>
      <sheetName val="CalBuffer"/>
      <sheetName val="MenuSheet"/>
      <sheetName val="MPFRule"/>
      <sheetName val="Activation"/>
      <sheetName val="NewDeclaration"/>
      <sheetName val="ExistDeclaration"/>
      <sheetName val="Old Declaration"/>
      <sheetName val="Data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-1 Order Ref-Client Profile"/>
      <sheetName val="II-1 Client Requirement List"/>
      <sheetName val="II-2 CheckList"/>
      <sheetName val="II-3 Interface"/>
      <sheetName val="II-4.1 Personnel"/>
      <sheetName val="II-4.2 Personnel"/>
      <sheetName val="II-5 Policy"/>
      <sheetName val="II-6 Leave"/>
      <sheetName val="II-7 Overtime"/>
      <sheetName val="II-8 EPaySl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高盛高华"/>
      <sheetName val="GSG 255 (update)"/>
      <sheetName val="GSG 255"/>
      <sheetName val="Ref"/>
      <sheetName val="Main"/>
      <sheetName val="Input"/>
      <sheetName val="Calculation_Sheet"/>
      <sheetName val="Upload_Template"/>
      <sheetName val="Local_in"/>
      <sheetName val="TCN_in"/>
      <sheetName val="TEQ_in"/>
      <sheetName val="Service_Fee_in"/>
      <sheetName val="Payroll_Summary_in"/>
      <sheetName val="Local"/>
      <sheetName val="TCN"/>
      <sheetName val="TEQ"/>
      <sheetName val="Service_Fee"/>
      <sheetName val="Payroll_Summary"/>
      <sheetName val="PayItem"/>
      <sheetName val="SYSTEM"/>
      <sheetName val="Note"/>
      <sheetName val="GSGH namelist"/>
      <sheetName val="table"/>
      <sheetName val="Self-defined Data"/>
      <sheetName val="Sheet2"/>
      <sheetName val="CMData"/>
      <sheetName val="PYData"/>
      <sheetName val="Data Source"/>
      <sheetName val="BiM-Ex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II"/>
      <sheetName val="Sheet1"/>
      <sheetName val="Re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S - JE L100"/>
      <sheetName val="Accrual P7"/>
      <sheetName val="2286 P7"/>
      <sheetName val="Sales Forecast 06-07"/>
      <sheetName val="AA"/>
      <sheetName val="Hillsdale"/>
      <sheetName val="Q2"/>
      <sheetName val="Seasonality"/>
      <sheetName val="Ref"/>
      <sheetName val="She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;-)"/>
      <sheetName val="datadictionary"/>
      <sheetName val="datasource_lookup"/>
      <sheetName val="menu"/>
      <sheetName val="general (1)"/>
      <sheetName val="taxrates (2)"/>
      <sheetName val="corptax (3)"/>
      <sheetName val="dadl (4)"/>
      <sheetName val="currenttaxlosses (5)"/>
      <sheetName val="taxlosses (6)"/>
      <sheetName val="statetax (7)"/>
      <sheetName val="taxcredits (8)"/>
      <sheetName val="taxaccruals (9)"/>
      <sheetName val="deftax (11)"/>
      <sheetName val="etrcalc (12)"/>
      <sheetName val="RECOentity (13)"/>
      <sheetName val="RECOgroup (14)"/>
      <sheetName val="TOPAS (15)"/>
      <sheetName val="PosPlan"/>
      <sheetName val="Checkbox (16)"/>
      <sheetName val="TaxPosting (17)"/>
      <sheetName val="Names"/>
      <sheetName val="Ausgabe ExportTabelle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mplate"/>
      <sheetName val="Administration"/>
      <sheetName val="OUTPUT"/>
      <sheetName val="taxrates (2)"/>
      <sheetName val="general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ing"/>
      <sheetName val="Validation"/>
      <sheetName val="Sheet1"/>
      <sheetName val="OM KR"/>
      <sheetName val="KR summary"/>
      <sheetName val="Korea"/>
      <sheetName val="Extraction_03.16.2011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Information"/>
      <sheetName val="Sheet2"/>
    </sheetNames>
    <sheetDataSet>
      <sheetData sheetId="0"/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mler Local Input Page"/>
      <sheetName val="Assignee Data"/>
      <sheetName val="Pay Type List V4-0"/>
      <sheetName val="Report 1"/>
      <sheetName val="Report 2"/>
      <sheetName val="Report 3"/>
      <sheetName val="Deloitte ---&gt;"/>
      <sheetName val="GA Payroll Import"/>
      <sheetName val="EMD"/>
      <sheetName val="Drop Down Data"/>
      <sheetName val="PLS"/>
      <sheetName val="FX"/>
      <sheetName val="IS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rictedShares"/>
      <sheetName val="payroll summary 0806 (by pa (3)"/>
      <sheetName val="payroll summary 0806 (by pa (2)"/>
      <sheetName val="payroll summary 0806 (by paymen"/>
      <sheetName val="qmf_empdetails200802"/>
      <sheetName val="Movement"/>
      <sheetName val="Data Source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 Master Data"/>
      <sheetName val="Values"/>
    </sheetNames>
    <sheetDataSet>
      <sheetData sheetId="0" refreshError="1"/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Lists"/>
      <sheetName val="REF"/>
      <sheetName val="Main"/>
      <sheetName val="BaiscInfo"/>
      <sheetName val="Inp_Comp_Detail_Rpt"/>
      <sheetName val="In_Initial"/>
      <sheetName val="In_Adjustment"/>
      <sheetName val="In_Paid_details"/>
      <sheetName val="CombineInput"/>
      <sheetName val="DB_BaiscInfo"/>
      <sheetName val="DB_Payitem_Matrix"/>
      <sheetName val="DB_ProjectList"/>
      <sheetName val="Calculaiton"/>
      <sheetName val="Sheet8"/>
      <sheetName val="BT_Compensation"/>
      <sheetName val="Adjstment All"/>
      <sheetName val="Initial All"/>
      <sheetName val="Initial Delete"/>
      <sheetName val="days"/>
      <sheetName val="Sheet10"/>
      <sheetName val="Sheet4"/>
      <sheetName val="BT_IITSummary1-12"/>
      <sheetName val="BT_IITCalculation_Initial"/>
      <sheetName val="BT_Credit(Sep 29,2017)"/>
      <sheetName val="Payitem_Excluded"/>
      <sheetName val="BT_ProjectList1"/>
      <sheetName val="BT_ProjectList2"/>
      <sheetName val="ExchangeRate"/>
      <sheetName val="201701"/>
      <sheetName val="201702"/>
      <sheetName val="201703"/>
      <sheetName val="201704"/>
      <sheetName val="201705"/>
      <sheetName val="201706"/>
      <sheetName val="201707"/>
      <sheetName val="201708"/>
      <sheetName val="201709"/>
      <sheetName val="201710"/>
      <sheetName val="2017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_IS"/>
      <sheetName val="F_O"/>
      <sheetName val="V_IS"/>
      <sheetName val="V_O"/>
      <sheetName val="V_ISG"/>
      <sheetName val="Orientation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nd-deregistration"/>
      <sheetName val="Shen"/>
      <sheetName val="White-J"/>
      <sheetName val="Yu-J"/>
      <sheetName val="Sin AY"/>
      <sheetName val="Pan AY"/>
      <sheetName val="Meng"/>
      <sheetName val="Tan-J"/>
      <sheetName val="Shen, James-J"/>
      <sheetName val="Zhuang, Yan-J"/>
      <sheetName val="Ting Wei Li AY"/>
      <sheetName val="Zhang, Qian-Deregistration"/>
      <sheetName val="Glauser-J"/>
      <sheetName val="Li Peng-J"/>
      <sheetName val="Bresenden"/>
      <sheetName val="Edmiston"/>
      <sheetName val="Jiang"/>
      <sheetName val="IIT Rate Table"/>
      <sheetName val="V_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Rate"/>
      <sheetName val="IIT"/>
      <sheetName val="A ER"/>
      <sheetName val="IIT_shde"/>
      <sheetName val="IIT.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Policy"/>
      <sheetName val="BRF"/>
      <sheetName val="Ref"/>
      <sheetName val="Payitem"/>
      <sheetName val="Main"/>
      <sheetName val="BasicInfo"/>
      <sheetName val="Calculation"/>
      <sheetName val="Detial_RPT"/>
      <sheetName val="ExchangeRate"/>
      <sheetName val="DB_TravelDays"/>
      <sheetName val="TravelDays"/>
      <sheetName val="OverPayment"/>
      <sheetName val="Non_taxable_Benefits"/>
      <sheetName val="Summary"/>
      <sheetName val="Breakdown"/>
      <sheetName val="Breakdown_Annual_Bouns"/>
      <sheetName val="MEMO"/>
      <sheetName val="IN03_1"/>
      <sheetName val="DB_Cal"/>
      <sheetName val="Un_used_calculation"/>
      <sheetName val="Upload_Bonus"/>
      <sheetName val="Upload_Salary"/>
      <sheetName val="VFormat"/>
      <sheetName val="VF_NGUP"/>
      <sheetName val="L_Holinier"/>
      <sheetName val="Jean Chausse"/>
      <sheetName val="VF_NGUP_AB"/>
      <sheetName val="VF3_MS"/>
      <sheetName val="VF2_GUP"/>
      <sheetName val="外籍正常工资薪金收入"/>
      <sheetName val="全年一次性奖金收入"/>
      <sheetName val="Return_online"/>
      <sheetName val="Return_online_AB"/>
      <sheetName val="身份证件类型代码"/>
      <sheetName val="Status_Trading"/>
      <sheetName val="Status_VIP"/>
      <sheetName val="Status_Other"/>
      <sheetName val="人员名单"/>
      <sheetName val="奉贤"/>
      <sheetName val="WGQ"/>
      <sheetName val="Temp"/>
      <sheetName val="Last_Cal"/>
      <sheetName val="Variance"/>
      <sheetName val="Seve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xed_Fee"/>
      <sheetName val="Fixed_Standard OOS"/>
      <sheetName val="Out Of Scope"/>
      <sheetName val="_TimeSheet_Output"/>
      <sheetName val="_FixedFeeLists"/>
      <sheetName val="_FixedFeeLists_US"/>
      <sheetName val="_CountryTable"/>
      <sheetName val="_US_CountryTable"/>
      <sheetName val="_Lists"/>
      <sheetName val="_Summary_Local"/>
      <sheetName val="_Summary_USD"/>
      <sheetName val="_Document_Information"/>
      <sheetName val="Auchan_GBT_China_May 2018"/>
      <sheetName val="Performance_Test"/>
      <sheetName val="Main"/>
      <sheetName val="PR1_US"/>
      <sheetName val="PR2_SG"/>
      <sheetName val="PR3_Brazil"/>
      <sheetName val="PR4_India"/>
      <sheetName val="PR5_JP"/>
      <sheetName val="PR6_Perkins"/>
      <sheetName val="PR7_Solar"/>
      <sheetName val="BF1_Cartus"/>
      <sheetName val="BF2_Equity"/>
      <sheetName val="BF3_Cigna"/>
      <sheetName val="BF4_TEC"/>
      <sheetName val="BF5_Benefits"/>
      <sheetName val="IIT_Salary"/>
      <sheetName val="IIT_Bonus"/>
      <sheetName val="IIT_Stock"/>
      <sheetName val="Temp"/>
      <sheetName val="PayItem"/>
      <sheetName val="BasicInfo"/>
      <sheetName val="Copy_Standard"/>
      <sheetName val="Ref"/>
      <sheetName val="Tool_Status"/>
      <sheetName val="ExchangeRate"/>
      <sheetName val="Tax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iation Form"/>
      <sheetName val="Standard Data"/>
      <sheetName val="IF BMW"/>
      <sheetName val="PE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ax cod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nel PnL"/>
      <sheetName val="Hrz PnL"/>
      <sheetName val="Channel LTM"/>
      <sheetName val="LTM Detail"/>
      <sheetName val="Summary BS"/>
      <sheetName val="Detailed BS"/>
      <sheetName val="IIT Rate Tabl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京"/>
      <sheetName val="taxrate"/>
      <sheetName val="payroll summary 0806 (by pa (3)"/>
      <sheetName val="Channel Pn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cal (2)"/>
      <sheetName val="Life 36 x BMS"/>
      <sheetName val="PA 39 x BMS"/>
      <sheetName val="Top-Up"/>
    </sheetNames>
    <sheetDataSet>
      <sheetData sheetId="0"/>
      <sheetData sheetId="1"/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 &amp; Instructions"/>
      <sheetName val="Outbound"/>
      <sheetName val="Inbound"/>
      <sheetName val="Sheet1"/>
      <sheetName val="Brazil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A"/>
      <sheetName val="EndList"/>
      <sheetName val="Main"/>
      <sheetName val="Basic_Info"/>
      <sheetName val="Last_Mth_Basic"/>
      <sheetName val="Input"/>
      <sheetName val="Home_Payroll"/>
      <sheetName val="Host_Payroll"/>
      <sheetName val="Oth_Input"/>
      <sheetName val="PostAction"/>
      <sheetName val="Upload_Salary"/>
      <sheetName val="SystemRpt"/>
      <sheetName val="RPT_Format"/>
      <sheetName val="IIT_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Sheet4"/>
      <sheetName val="Code"/>
      <sheetName val="REF"/>
      <sheetName val="filter_Enty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"/>
      <sheetName val="Payroll Register"/>
      <sheetName val="Function Buttons"/>
      <sheetName val="Bank Advice"/>
      <sheetName val="Bank Advice Template"/>
      <sheetName val="Insert Record"/>
      <sheetName val="Delete Record"/>
      <sheetName val="Insert Salary"/>
      <sheetName val="Insert Bonus"/>
      <sheetName val="Hide Columns"/>
      <sheetName val="Unhide Columns"/>
      <sheetName val="Set Register"/>
      <sheetName val="Print Merge"/>
      <sheetName val="Prepare Bank Advice"/>
      <sheetName val="Paste Records"/>
      <sheetName val="Sheet1"/>
      <sheetName val="Tax Rate Table"/>
      <sheetName val="tax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ransactions"/>
      <sheetName val="TSettings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ensatory Input"/>
      <sheetName val="GoSystems Data Input"/>
      <sheetName val="Fed True-up Calc"/>
      <sheetName val="State&amp;Local Tax Calc"/>
      <sheetName val="State Tax Calculation"/>
      <sheetName val="Accenture Output Shee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P New"/>
      <sheetName val="Pay types"/>
      <sheetName val="P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_Sheet1"/>
      <sheetName val="Sheet1"/>
      <sheetName val="Com 2"/>
      <sheetName val="Tax Rate Table"/>
      <sheetName val="Co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Definitions"/>
      <sheetName val="Co. Profile &amp; Comp Practices"/>
      <sheetName val="CoProfile_table"/>
      <sheetName val="Manpower"/>
      <sheetName val="Corporate Benchmark"/>
      <sheetName val="Graduate Starting Salaries"/>
      <sheetName val="StartPay_table"/>
      <sheetName val="Pension Plan Details"/>
      <sheetName val="Malaysia"/>
      <sheetName val="Coding"/>
      <sheetName val="PopCache_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lt;=50G"/>
      <sheetName val="Sheet4"/>
      <sheetName val="taxrate"/>
    </sheetNames>
    <sheetDataSet>
      <sheetData sheetId="0"/>
      <sheetData sheetId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 in format 1 (Preferred)"/>
      <sheetName val="COA in format 2 "/>
      <sheetName val="Cover"/>
      <sheetName val="Whole China List"/>
      <sheetName val="Sheet1"/>
      <sheetName val="Sheet3"/>
      <sheetName val="Sheet6"/>
      <sheetName val="Nature"/>
      <sheetName val="GC PeopleList"/>
      <sheetName val="XC Full list"/>
      <sheetName val="GHR"/>
      <sheetName val="HK mobility list "/>
      <sheetName val="Code Block Mapping"/>
      <sheetName val="SL &amp; SSL mapping"/>
      <sheetName val="Action&amp;Reason Mapping"/>
      <sheetName val="testz0n6jam"/>
      <sheetName val="Reason list For Cost"/>
      <sheetName val="Reason list for Payment reques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l"/>
      <sheetName val="Local jj"/>
      <sheetName val="Local sort)"/>
      <sheetName val="Local sort) (2)"/>
      <sheetName val="5 bonus"/>
      <sheetName val="CHF"/>
      <sheetName val="chf sort"/>
      <sheetName val="NGAT-Sort Li Isabelle"/>
      <sheetName val="GAT-Sort Salary"/>
      <sheetName val="Regional"/>
      <sheetName val="NGAT bonus"/>
      <sheetName val="GAT-SortBonus"/>
      <sheetName val="NGAT-Sort L Bouns"/>
      <sheetName val="taxrate"/>
      <sheetName val="grossup"/>
      <sheetName val="Cost Center L"/>
      <sheetName val="Sheet4"/>
      <sheetName val="Reason list for Payment request"/>
      <sheetName val="Reason list For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EMs2"/>
      <sheetName val="PaEMs2.xls"/>
    </sheetNames>
    <definedNames>
      <definedName name="Record1"/>
    </defined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Home"/>
      <sheetName val="Control Sheet"/>
      <sheetName val="Local Pay Ins"/>
      <sheetName val="BATCH_Historic"/>
      <sheetName val="BATCH_Active"/>
      <sheetName val="BASF SE Workings"/>
      <sheetName val="Key"/>
      <sheetName val="RI Output Full"/>
      <sheetName val="Summary Full"/>
      <sheetName val="RI Output Home "/>
      <sheetName val="Not to be processed"/>
      <sheetName val="Delegate Information"/>
      <sheetName val="Input Data New format"/>
      <sheetName val="Input Data"/>
      <sheetName val="Configuration"/>
      <sheetName val="Reporting Instructions Full"/>
      <sheetName val="Pay Instructions Home"/>
      <sheetName val="Pay Instructions Host"/>
      <sheetName val="Tax grids mapping"/>
      <sheetName val="Tax positions mapping"/>
      <sheetName val="Paycode mapping"/>
      <sheetName val="ISS positions mapping"/>
      <sheetName val="Transit"/>
      <sheetName val="Config Local"/>
      <sheetName val="Input Local"/>
      <sheetName val="EY Payroll Feed"/>
      <sheetName val="Mappings Local"/>
      <sheetName val="BASF SE Non Exec file"/>
      <sheetName val="BASF SE batch file workings"/>
      <sheetName val="Output report Header mapping"/>
      <sheetName val="Mapping BASF SE file"/>
      <sheetName val="Tax and SS Guidance"/>
      <sheetName val="Upload IT0014"/>
      <sheetName val="Delegation Working"/>
      <sheetName val="PI Template"/>
      <sheetName val="Datasource_CountryMapping"/>
      <sheetName val="Mapping swiss"/>
      <sheetName val="Mapping spain"/>
      <sheetName val="BASf ESSC Mapping"/>
      <sheetName val="Paygroup vs country mapp"/>
      <sheetName val="Change Tracker"/>
      <sheetName val="Bonus Return tax position Mapp"/>
      <sheetName val="Bonus Return ISS position Mapp"/>
      <sheetName val="Mapping canada"/>
      <sheetName val="Local format_Entity mapping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EASE READ "/>
      <sheetName val="Payment Categories"/>
      <sheetName val="To be completed"/>
      <sheetName val="To be Processed"/>
      <sheetName val="Pivot"/>
      <sheetName val="Do Not Delete"/>
      <sheetName val="Workings"/>
      <sheetName val="Tax codes"/>
      <sheetName val="Gesam Tab"/>
      <sheetName val="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S ERF template"/>
      <sheetName val="Description"/>
      <sheetName val="sector table"/>
      <sheetName val="taxr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pany1999.8"/>
      <sheetName val="Emplist1999.8"/>
      <sheetName val="Vacation1999.8"/>
      <sheetName val="Royalty 1999.8"/>
      <sheetName val="AGE 1999.8"/>
      <sheetName val="YENB1999.8"/>
      <sheetName val="Note1999.8"/>
      <sheetName val="Sheet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a"/>
      <sheetName val="Summary"/>
      <sheetName val="Subtype"/>
    </sheetNames>
    <sheetDataSet>
      <sheetData sheetId="0"/>
      <sheetData sheetId="1"/>
      <sheetData sheetId="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 Inf"/>
      <sheetName val="Income Schedule"/>
      <sheetName val="Cover"/>
      <sheetName val="M1"/>
      <sheetName val="M2"/>
      <sheetName val="M3"/>
      <sheetName val="Com 1"/>
      <sheetName val="Com 2"/>
      <sheetName val="Blank Return"/>
      <sheetName val="Tax Rate Table"/>
      <sheetName val="Local_Module"/>
      <sheetName val="sector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FT"/>
      <sheetName val="STX Agree"/>
      <sheetName val="STX Letter"/>
      <sheetName val="STX Summary"/>
      <sheetName val="wages"/>
      <sheetName val="STX FIC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heet"/>
      <sheetName val="Assignee List"/>
      <sheetName val="Summary"/>
      <sheetName val="AU Comp0"/>
      <sheetName val="AU comp1"/>
      <sheetName val="AU comp2"/>
      <sheetName val="Vendor Payments"/>
      <sheetName val="Tax Payments"/>
      <sheetName val="HTS"/>
      <sheetName val="IA Allow1"/>
      <sheetName val="IA Allow2"/>
      <sheetName val="CIGNA"/>
      <sheetName val="WWER - CN"/>
      <sheetName val="WWER - AU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M HTS"/>
      <sheetName val="Tables"/>
      <sheetName val="Sheet1"/>
      <sheetName val="Sheet2"/>
      <sheetName val="Sheet3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nel"/>
      <sheetName val="Request"/>
      <sheetName val="Comm. Plan"/>
      <sheetName val="Schedule"/>
      <sheetName val="Gantt"/>
      <sheetName val="Risk"/>
      <sheetName val="Issues"/>
      <sheetName val="Change"/>
      <sheetName val="Resources"/>
      <sheetName val="Learn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ay"/>
      <sheetName val="INPUT"/>
      <sheetName val="Main"/>
      <sheetName val="LEAVE_Summary"/>
      <sheetName val="name"/>
      <sheetName val="Sheet1"/>
      <sheetName val="Ref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HistoricalData"/>
      <sheetName val="Payroll_Summary"/>
      <sheetName val="Upload_template"/>
      <sheetName val="Slip_format"/>
      <sheetName val="temp"/>
      <sheetName val="P"/>
      <sheetName val="L"/>
      <sheetName val="Commision"/>
      <sheetName val="SLA Payroll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减免税人员名单"/>
      <sheetName val="填表说明"/>
      <sheetName val="Sheet3"/>
    </sheetNames>
    <sheetDataSet>
      <sheetData sheetId="0"/>
      <sheetData sheetId="1"/>
      <sheetData sheetId="2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员信息"/>
      <sheetName val="填表说明"/>
    </sheetNames>
    <sheetDataSet>
      <sheetData sheetId="0"/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申报信息"/>
      <sheetName val="减免事项报告表（减免事项部分）"/>
      <sheetName val="减免事项报告表（税收协定部分）"/>
      <sheetName val="代码表"/>
      <sheetName val="填表说明"/>
      <sheetName val="启用宏方法"/>
      <sheetName val="Sheet4"/>
      <sheetName val="版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v, Aileen" refreshedDate="45908.759597106502" createdVersion="8" refreshedVersion="8" minRefreshableVersion="3" recordCount="8">
  <cacheSource type="worksheet">
    <worksheetSource ref="A1" sheet="Check Result"/>
  </cacheSource>
  <cacheFields count="8">
    <cacheField name="Batch Name" numFmtId="1">
      <sharedItems containsSemiMixedTypes="0" containsNonDate="0" containsString="0"/>
    </cacheField>
    <cacheField name="Legal Entity" numFmtId="1">
      <sharedItems containsSemiMixedTypes="0" containsNonDate="0" containsString="0"/>
    </cacheField>
    <cacheField name="Payroll Group" numFmtId="1">
      <sharedItems containsSemiMixedTypes="0" containsNonDate="0" containsString="0"/>
    </cacheField>
    <cacheField name="WEIN" numFmtId="1">
      <sharedItems containsSemiMixedTypes="0" containsNonDate="0" containsString="0"/>
    </cacheField>
    <cacheField name="Legal Last Name" numFmtId="1">
      <sharedItems containsSemiMixedTypes="0" containsNonDate="0" containsString="0"/>
    </cacheField>
    <cacheField name="Legal First Name" numFmtId="1">
      <sharedItems containsSemiMixedTypes="0" containsNonDate="0" containsString="0"/>
    </cacheField>
    <cacheField name="Preferred Name" numFmtId="1">
      <sharedItems containsSemiMixedTypes="0" containsNonDate="0" containsString="0"/>
    </cacheField>
    <cacheField name="Hire Status" numFmtId="1">
      <sharedItems count="2">
        <s v="Active"/>
        <s v="Terminate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MSD Asia202508"/>
    <s v="MSD Asia"/>
    <s v="MSD Asia"/>
    <n v="66666666"/>
    <s v="FF"/>
    <s v="FFF"/>
    <s v="F"/>
    <x v="0"/>
  </r>
  <r>
    <s v="MSD Asia202508"/>
    <s v="MSD Asia"/>
    <s v="MSD Asia"/>
    <n v="33333333"/>
    <s v="CC"/>
    <s v="CCC"/>
    <s v="C"/>
    <x v="0"/>
  </r>
  <r>
    <s v="MSD Asia202508"/>
    <s v="MSD Asia"/>
    <s v="MSD Asia"/>
    <n v="44444444"/>
    <s v="DD"/>
    <s v="DDD"/>
    <s v="D"/>
    <x v="0"/>
  </r>
  <r>
    <s v="MSD Asia202508"/>
    <s v="MSD Asia"/>
    <s v="MSD Asia"/>
    <n v="55555555"/>
    <s v="EE"/>
    <s v="EEE"/>
    <s v="D"/>
    <x v="0"/>
  </r>
  <r>
    <s v="MSD Asia202508"/>
    <s v="MSD Asia"/>
    <s v="MSD Asia"/>
    <n v="88888888"/>
    <s v="HH"/>
    <s v="HHH"/>
    <s v="H"/>
    <x v="0"/>
  </r>
  <r>
    <s v="MSD Asia202508"/>
    <s v="MSD Asia"/>
    <s v="MSD Asia"/>
    <n v="11111111"/>
    <s v="AA"/>
    <s v="AAA"/>
    <s v="Peter"/>
    <x v="0"/>
  </r>
  <r>
    <s v="MSD Asia202508"/>
    <s v="MSD Asia"/>
    <s v="MSD Asia"/>
    <n v="22222222"/>
    <s v="BB"/>
    <s v="BBB"/>
    <s v="Pauletta"/>
    <x v="0"/>
  </r>
  <r>
    <s v="MSD Asia202508"/>
    <s v="MSD Asia"/>
    <s v="MSD Asia"/>
    <n v="77777777"/>
    <s v="GG"/>
    <s v="GGG"/>
    <s v="G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5" firstHeaderRow="1" firstDataRow="1" firstDataCol="1"/>
  <pivotFields count="8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m="1" x="1"/>
        <item t="default"/>
      </items>
    </pivotField>
  </pivotFields>
  <rowFields count="1">
    <field x="7"/>
  </rowFields>
  <rowItems count="2">
    <i>
      <x/>
    </i>
    <i t="grand">
      <x/>
    </i>
  </rowItems>
  <colItems count="1">
    <i/>
  </colItems>
  <dataFields count="1">
    <dataField name="Count of WEI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125"/>
  <sheetViews>
    <sheetView tabSelected="1" topLeftCell="GB1" zoomScale="85" zoomScaleNormal="85" workbookViewId="0">
      <selection activeCell="GE2" sqref="GE2"/>
    </sheetView>
  </sheetViews>
  <sheetFormatPr defaultColWidth="26" defaultRowHeight="14.25"/>
  <cols>
    <col min="1" max="1" width="26" style="29"/>
    <col min="2" max="2" width="41.5" style="29" customWidth="1"/>
    <col min="3" max="23" width="26" style="29"/>
    <col min="24" max="24" width="43.125" style="29" customWidth="1"/>
    <col min="25" max="16384" width="26" style="29"/>
  </cols>
  <sheetData>
    <row r="1" spans="1:271" s="27" customFormat="1">
      <c r="F1" s="27">
        <v>0</v>
      </c>
      <c r="K1" s="34">
        <v>1</v>
      </c>
    </row>
    <row r="2" spans="1:271" s="28" customFormat="1" ht="45">
      <c r="A2" s="30" t="s">
        <v>0</v>
      </c>
      <c r="B2" s="30" t="s">
        <v>1</v>
      </c>
      <c r="C2" s="30" t="s">
        <v>2</v>
      </c>
      <c r="D2" s="30" t="s">
        <v>3</v>
      </c>
      <c r="E2" s="31" t="s">
        <v>4</v>
      </c>
      <c r="F2" s="31" t="s">
        <v>5</v>
      </c>
      <c r="G2" s="30" t="s">
        <v>6</v>
      </c>
      <c r="H2" s="30" t="s">
        <v>7</v>
      </c>
      <c r="I2" s="30" t="s">
        <v>8</v>
      </c>
      <c r="J2" s="31" t="s">
        <v>4</v>
      </c>
      <c r="K2" s="31" t="s">
        <v>5</v>
      </c>
      <c r="L2" s="30" t="s">
        <v>9</v>
      </c>
      <c r="M2" s="30" t="s">
        <v>10</v>
      </c>
      <c r="N2" s="30" t="s">
        <v>11</v>
      </c>
      <c r="O2" s="31" t="s">
        <v>4</v>
      </c>
      <c r="P2" s="31" t="s">
        <v>5</v>
      </c>
      <c r="Q2" s="30" t="s">
        <v>12</v>
      </c>
      <c r="R2" s="31" t="s">
        <v>4</v>
      </c>
      <c r="S2" s="31" t="s">
        <v>5</v>
      </c>
      <c r="T2" s="30" t="s">
        <v>13</v>
      </c>
      <c r="U2" s="31" t="s">
        <v>4</v>
      </c>
      <c r="V2" s="31" t="s">
        <v>5</v>
      </c>
      <c r="W2" s="30" t="s">
        <v>14</v>
      </c>
      <c r="X2" s="30" t="s">
        <v>15</v>
      </c>
      <c r="Y2" s="31" t="s">
        <v>4</v>
      </c>
      <c r="Z2" s="31" t="s">
        <v>5</v>
      </c>
      <c r="AA2" s="30" t="s">
        <v>16</v>
      </c>
      <c r="AB2" s="30" t="s">
        <v>17</v>
      </c>
      <c r="AC2" s="31" t="s">
        <v>4</v>
      </c>
      <c r="AD2" s="31" t="s">
        <v>5</v>
      </c>
      <c r="AE2" s="30" t="s">
        <v>18</v>
      </c>
      <c r="AF2" s="30" t="s">
        <v>19</v>
      </c>
      <c r="AG2" s="30" t="s">
        <v>20</v>
      </c>
      <c r="AH2" s="30" t="s">
        <v>21</v>
      </c>
      <c r="AI2" s="31" t="s">
        <v>4</v>
      </c>
      <c r="AJ2" s="31" t="s">
        <v>5</v>
      </c>
      <c r="AK2" s="30" t="s">
        <v>22</v>
      </c>
      <c r="AL2" s="31" t="s">
        <v>4</v>
      </c>
      <c r="AM2" s="31" t="s">
        <v>5</v>
      </c>
      <c r="AN2" s="30" t="s">
        <v>23</v>
      </c>
      <c r="AO2" s="31" t="s">
        <v>4</v>
      </c>
      <c r="AP2" s="31" t="s">
        <v>5</v>
      </c>
      <c r="AQ2" s="30" t="s">
        <v>24</v>
      </c>
      <c r="AR2" s="31" t="s">
        <v>4</v>
      </c>
      <c r="AS2" s="31" t="s">
        <v>5</v>
      </c>
      <c r="AT2" s="30" t="s">
        <v>25</v>
      </c>
      <c r="AU2" s="31" t="s">
        <v>4</v>
      </c>
      <c r="AV2" s="31" t="s">
        <v>5</v>
      </c>
      <c r="AW2" s="30" t="s">
        <v>898</v>
      </c>
      <c r="AX2" s="30" t="s">
        <v>26</v>
      </c>
      <c r="AY2" s="30" t="s">
        <v>27</v>
      </c>
      <c r="AZ2" s="30" t="s">
        <v>28</v>
      </c>
      <c r="BA2" s="30" t="s">
        <v>29</v>
      </c>
      <c r="BB2" s="31" t="s">
        <v>4</v>
      </c>
      <c r="BC2" s="31" t="s">
        <v>5</v>
      </c>
      <c r="BD2" s="30" t="s">
        <v>30</v>
      </c>
      <c r="BE2" s="31" t="s">
        <v>4</v>
      </c>
      <c r="BF2" s="31" t="s">
        <v>5</v>
      </c>
      <c r="BG2" s="30" t="s">
        <v>31</v>
      </c>
      <c r="BH2" s="31" t="s">
        <v>4</v>
      </c>
      <c r="BI2" s="31" t="s">
        <v>5</v>
      </c>
      <c r="BJ2" s="30" t="s">
        <v>32</v>
      </c>
      <c r="BK2" s="30" t="s">
        <v>33</v>
      </c>
      <c r="BL2" s="30" t="s">
        <v>34</v>
      </c>
      <c r="BM2" s="30" t="s">
        <v>35</v>
      </c>
      <c r="BN2" s="31" t="s">
        <v>4</v>
      </c>
      <c r="BO2" s="31" t="s">
        <v>5</v>
      </c>
      <c r="BP2" s="30" t="s">
        <v>36</v>
      </c>
      <c r="BQ2" s="31" t="s">
        <v>4</v>
      </c>
      <c r="BR2" s="31" t="s">
        <v>5</v>
      </c>
      <c r="BS2" s="30" t="s">
        <v>37</v>
      </c>
      <c r="BT2" s="30" t="s">
        <v>38</v>
      </c>
      <c r="BU2" s="30" t="s">
        <v>39</v>
      </c>
      <c r="BV2" s="30" t="s">
        <v>40</v>
      </c>
      <c r="BW2" s="31" t="s">
        <v>4</v>
      </c>
      <c r="BX2" s="31" t="s">
        <v>5</v>
      </c>
      <c r="BY2" s="30" t="s">
        <v>41</v>
      </c>
      <c r="BZ2" s="31" t="s">
        <v>4</v>
      </c>
      <c r="CA2" s="31" t="s">
        <v>5</v>
      </c>
      <c r="CB2" s="30" t="s">
        <v>42</v>
      </c>
      <c r="CC2" s="30" t="s">
        <v>43</v>
      </c>
      <c r="CD2" s="31" t="s">
        <v>4</v>
      </c>
      <c r="CE2" s="31" t="s">
        <v>5</v>
      </c>
      <c r="CF2" s="30" t="s">
        <v>44</v>
      </c>
      <c r="CG2" s="31" t="s">
        <v>4</v>
      </c>
      <c r="CH2" s="31" t="s">
        <v>5</v>
      </c>
      <c r="CI2" s="30" t="s">
        <v>45</v>
      </c>
      <c r="CJ2" s="31" t="s">
        <v>4</v>
      </c>
      <c r="CK2" s="31" t="s">
        <v>5</v>
      </c>
      <c r="CL2" s="30" t="s">
        <v>46</v>
      </c>
      <c r="CM2" s="31" t="s">
        <v>4</v>
      </c>
      <c r="CN2" s="31" t="s">
        <v>5</v>
      </c>
      <c r="CO2" s="30" t="s">
        <v>47</v>
      </c>
      <c r="CP2" s="31" t="s">
        <v>4</v>
      </c>
      <c r="CQ2" s="31" t="s">
        <v>5</v>
      </c>
      <c r="CR2" s="30" t="s">
        <v>48</v>
      </c>
      <c r="CS2" s="30" t="s">
        <v>49</v>
      </c>
      <c r="CT2" s="31" t="s">
        <v>4</v>
      </c>
      <c r="CU2" s="31" t="s">
        <v>5</v>
      </c>
      <c r="CV2" s="30" t="s">
        <v>50</v>
      </c>
      <c r="CW2" s="31" t="s">
        <v>4</v>
      </c>
      <c r="CX2" s="31" t="s">
        <v>5</v>
      </c>
      <c r="CY2" s="30" t="s">
        <v>51</v>
      </c>
      <c r="CZ2" s="31" t="s">
        <v>4</v>
      </c>
      <c r="DA2" s="31" t="s">
        <v>5</v>
      </c>
      <c r="DB2" s="30" t="s">
        <v>52</v>
      </c>
      <c r="DC2" s="30" t="s">
        <v>53</v>
      </c>
      <c r="DD2" s="31" t="s">
        <v>4</v>
      </c>
      <c r="DE2" s="31" t="s">
        <v>5</v>
      </c>
      <c r="DF2" s="30" t="s">
        <v>54</v>
      </c>
      <c r="DG2" s="31" t="s">
        <v>4</v>
      </c>
      <c r="DH2" s="31" t="s">
        <v>5</v>
      </c>
      <c r="DI2" s="30" t="s">
        <v>55</v>
      </c>
      <c r="DJ2" s="31" t="s">
        <v>4</v>
      </c>
      <c r="DK2" s="31" t="s">
        <v>5</v>
      </c>
      <c r="DL2" s="30" t="s">
        <v>56</v>
      </c>
      <c r="DM2" s="31" t="s">
        <v>4</v>
      </c>
      <c r="DN2" s="31" t="s">
        <v>5</v>
      </c>
      <c r="DO2" s="30" t="s">
        <v>57</v>
      </c>
      <c r="DP2" s="31" t="s">
        <v>4</v>
      </c>
      <c r="DQ2" s="31" t="s">
        <v>5</v>
      </c>
      <c r="DR2" s="30" t="s">
        <v>58</v>
      </c>
      <c r="DS2" s="30" t="s">
        <v>59</v>
      </c>
      <c r="DT2" s="30" t="s">
        <v>60</v>
      </c>
      <c r="DU2" s="39" t="s">
        <v>4</v>
      </c>
      <c r="DV2" s="40" t="s">
        <v>5</v>
      </c>
      <c r="DW2" s="30" t="s">
        <v>61</v>
      </c>
      <c r="DX2" s="39" t="s">
        <v>4</v>
      </c>
      <c r="DY2" s="40" t="s">
        <v>5</v>
      </c>
      <c r="DZ2" s="30" t="s">
        <v>62</v>
      </c>
      <c r="EA2" s="39" t="s">
        <v>4</v>
      </c>
      <c r="EB2" s="40" t="s">
        <v>5</v>
      </c>
      <c r="EC2" s="30" t="s">
        <v>63</v>
      </c>
      <c r="ED2" s="39" t="s">
        <v>4</v>
      </c>
      <c r="EE2" s="40" t="s">
        <v>5</v>
      </c>
      <c r="EF2" s="30" t="s">
        <v>64</v>
      </c>
      <c r="EG2" s="30" t="s">
        <v>65</v>
      </c>
      <c r="EH2" s="31" t="s">
        <v>4</v>
      </c>
      <c r="EI2" s="31" t="s">
        <v>5</v>
      </c>
      <c r="EJ2" s="30" t="s">
        <v>66</v>
      </c>
      <c r="EK2" s="30" t="s">
        <v>67</v>
      </c>
      <c r="EL2" s="39" t="s">
        <v>4</v>
      </c>
      <c r="EM2" s="40" t="s">
        <v>5</v>
      </c>
      <c r="EN2" s="30" t="s">
        <v>68</v>
      </c>
      <c r="EO2" s="39" t="s">
        <v>4</v>
      </c>
      <c r="EP2" s="40" t="s">
        <v>5</v>
      </c>
      <c r="EQ2" s="30" t="s">
        <v>69</v>
      </c>
      <c r="ER2" s="39" t="s">
        <v>4</v>
      </c>
      <c r="ES2" s="40" t="s">
        <v>5</v>
      </c>
      <c r="ET2" s="30" t="s">
        <v>70</v>
      </c>
      <c r="EU2" s="39" t="s">
        <v>4</v>
      </c>
      <c r="EV2" s="40" t="s">
        <v>5</v>
      </c>
      <c r="EW2" s="30" t="s">
        <v>71</v>
      </c>
      <c r="EX2" s="30" t="s">
        <v>72</v>
      </c>
      <c r="EY2" s="30" t="s">
        <v>73</v>
      </c>
      <c r="EZ2" s="39" t="s">
        <v>4</v>
      </c>
      <c r="FA2" s="40" t="s">
        <v>5</v>
      </c>
      <c r="FB2" s="30" t="s">
        <v>74</v>
      </c>
      <c r="FC2" s="39" t="s">
        <v>4</v>
      </c>
      <c r="FD2" s="40" t="s">
        <v>5</v>
      </c>
      <c r="FE2" s="30" t="s">
        <v>75</v>
      </c>
      <c r="FF2" s="31" t="s">
        <v>4</v>
      </c>
      <c r="FG2" s="31" t="s">
        <v>5</v>
      </c>
      <c r="FH2" s="30" t="s">
        <v>76</v>
      </c>
      <c r="FI2" s="31" t="s">
        <v>4</v>
      </c>
      <c r="FJ2" s="31" t="s">
        <v>5</v>
      </c>
      <c r="FK2" s="30" t="s">
        <v>77</v>
      </c>
      <c r="FL2" s="31" t="s">
        <v>4</v>
      </c>
      <c r="FM2" s="31" t="s">
        <v>5</v>
      </c>
      <c r="FN2" s="30" t="s">
        <v>78</v>
      </c>
      <c r="FO2" s="31" t="s">
        <v>4</v>
      </c>
      <c r="FP2" s="31" t="s">
        <v>5</v>
      </c>
      <c r="FQ2" s="30" t="s">
        <v>79</v>
      </c>
      <c r="FR2" s="30" t="s">
        <v>80</v>
      </c>
      <c r="FS2" s="30" t="s">
        <v>81</v>
      </c>
      <c r="FT2" s="30" t="s">
        <v>82</v>
      </c>
      <c r="FU2" s="30" t="s">
        <v>83</v>
      </c>
      <c r="FV2" s="31" t="s">
        <v>4</v>
      </c>
      <c r="FW2" s="31" t="s">
        <v>5</v>
      </c>
      <c r="FX2" s="30" t="s">
        <v>84</v>
      </c>
      <c r="FY2" s="30" t="s">
        <v>85</v>
      </c>
      <c r="FZ2" s="30" t="s">
        <v>86</v>
      </c>
      <c r="GA2" s="31" t="s">
        <v>4</v>
      </c>
      <c r="GB2" s="31" t="s">
        <v>5</v>
      </c>
      <c r="GC2" s="30" t="s">
        <v>87</v>
      </c>
      <c r="GD2" s="30" t="s">
        <v>88</v>
      </c>
      <c r="GE2" s="30" t="s">
        <v>89</v>
      </c>
      <c r="GF2" s="31" t="s">
        <v>4</v>
      </c>
      <c r="GG2" s="31" t="s">
        <v>5</v>
      </c>
      <c r="GH2" s="30" t="s">
        <v>90</v>
      </c>
      <c r="GI2" s="31" t="s">
        <v>4</v>
      </c>
      <c r="GJ2" s="31" t="s">
        <v>5</v>
      </c>
      <c r="GK2" s="30" t="s">
        <v>91</v>
      </c>
      <c r="GL2" s="30" t="s">
        <v>92</v>
      </c>
      <c r="GM2" s="31" t="s">
        <v>4</v>
      </c>
      <c r="GN2" s="31" t="s">
        <v>5</v>
      </c>
      <c r="GO2" s="30" t="s">
        <v>93</v>
      </c>
      <c r="GP2" s="31" t="s">
        <v>4</v>
      </c>
      <c r="GQ2" s="31" t="s">
        <v>5</v>
      </c>
      <c r="GR2" s="30" t="s">
        <v>94</v>
      </c>
      <c r="GS2" s="31" t="s">
        <v>4</v>
      </c>
      <c r="GT2" s="31" t="s">
        <v>5</v>
      </c>
      <c r="GU2" s="30" t="s">
        <v>95</v>
      </c>
      <c r="GV2" s="30" t="s">
        <v>96</v>
      </c>
      <c r="GW2" s="30" t="s">
        <v>97</v>
      </c>
      <c r="GX2" s="31" t="s">
        <v>4</v>
      </c>
      <c r="GY2" s="31" t="s">
        <v>5</v>
      </c>
      <c r="GZ2" s="30" t="s">
        <v>98</v>
      </c>
      <c r="HA2" s="30" t="s">
        <v>99</v>
      </c>
      <c r="HB2" s="31" t="s">
        <v>4</v>
      </c>
      <c r="HC2" s="31" t="s">
        <v>5</v>
      </c>
      <c r="HD2" s="30" t="s">
        <v>100</v>
      </c>
      <c r="HE2" s="31" t="s">
        <v>4</v>
      </c>
      <c r="HF2" s="31" t="s">
        <v>5</v>
      </c>
      <c r="HG2" s="30" t="s">
        <v>101</v>
      </c>
      <c r="HH2" s="31" t="s">
        <v>4</v>
      </c>
      <c r="HI2" s="31" t="s">
        <v>5</v>
      </c>
      <c r="HJ2" s="30" t="s">
        <v>102</v>
      </c>
      <c r="HK2" s="31" t="s">
        <v>4</v>
      </c>
      <c r="HL2" s="31" t="s">
        <v>5</v>
      </c>
      <c r="HM2" s="30" t="s">
        <v>103</v>
      </c>
      <c r="HN2" s="31" t="s">
        <v>4</v>
      </c>
      <c r="HO2" s="31" t="s">
        <v>5</v>
      </c>
      <c r="HP2" s="30" t="s">
        <v>104</v>
      </c>
      <c r="HQ2" s="31" t="s">
        <v>4</v>
      </c>
      <c r="HR2" s="31" t="s">
        <v>5</v>
      </c>
      <c r="HS2" s="30" t="s">
        <v>105</v>
      </c>
      <c r="HT2" s="30" t="s">
        <v>106</v>
      </c>
      <c r="HU2" s="30" t="s">
        <v>107</v>
      </c>
      <c r="HV2" s="30" t="s">
        <v>108</v>
      </c>
      <c r="HW2" s="30" t="s">
        <v>109</v>
      </c>
      <c r="HX2" s="31" t="s">
        <v>4</v>
      </c>
      <c r="HY2" s="31" t="s">
        <v>5</v>
      </c>
      <c r="HZ2" s="30" t="s">
        <v>110</v>
      </c>
      <c r="IA2" s="30" t="s">
        <v>111</v>
      </c>
      <c r="IB2" s="30" t="s">
        <v>112</v>
      </c>
      <c r="IC2" s="30" t="s">
        <v>113</v>
      </c>
      <c r="ID2" s="30" t="s">
        <v>114</v>
      </c>
      <c r="IE2" s="30" t="s">
        <v>115</v>
      </c>
      <c r="IF2" s="30" t="s">
        <v>116</v>
      </c>
      <c r="IG2" s="30" t="s">
        <v>117</v>
      </c>
      <c r="IH2" s="30" t="s">
        <v>118</v>
      </c>
      <c r="II2" s="30" t="s">
        <v>119</v>
      </c>
      <c r="IJ2" s="30" t="s">
        <v>120</v>
      </c>
      <c r="IK2" s="30" t="s">
        <v>121</v>
      </c>
      <c r="IL2" s="30" t="s">
        <v>122</v>
      </c>
      <c r="IM2" s="30" t="s">
        <v>123</v>
      </c>
      <c r="IN2" s="30" t="s">
        <v>124</v>
      </c>
      <c r="IO2" s="30" t="s">
        <v>125</v>
      </c>
      <c r="IP2" s="30" t="s">
        <v>126</v>
      </c>
      <c r="IQ2" s="30" t="s">
        <v>127</v>
      </c>
      <c r="IR2" s="30" t="s">
        <v>128</v>
      </c>
      <c r="IS2" s="30" t="s">
        <v>129</v>
      </c>
      <c r="IT2" s="31" t="s">
        <v>4</v>
      </c>
      <c r="IU2" s="31" t="s">
        <v>5</v>
      </c>
      <c r="IV2" s="30" t="s">
        <v>130</v>
      </c>
      <c r="IW2" s="30" t="s">
        <v>131</v>
      </c>
      <c r="IX2" s="30" t="s">
        <v>132</v>
      </c>
      <c r="IY2" s="30" t="s">
        <v>133</v>
      </c>
      <c r="IZ2" s="30" t="s">
        <v>134</v>
      </c>
      <c r="JA2" s="30" t="s">
        <v>135</v>
      </c>
      <c r="JB2" s="30" t="s">
        <v>136</v>
      </c>
      <c r="JC2" s="30" t="s">
        <v>137</v>
      </c>
      <c r="JD2" s="30" t="s">
        <v>138</v>
      </c>
      <c r="JE2" s="30" t="s">
        <v>139</v>
      </c>
      <c r="JF2" s="30" t="s">
        <v>140</v>
      </c>
      <c r="JG2" s="30" t="s">
        <v>141</v>
      </c>
      <c r="JH2" s="30" t="s">
        <v>142</v>
      </c>
      <c r="JI2" s="30" t="s">
        <v>143</v>
      </c>
      <c r="JJ2" s="30" t="s">
        <v>144</v>
      </c>
      <c r="JK2" s="30" t="s">
        <v>145</v>
      </c>
    </row>
    <row r="3" spans="1:271" s="27" customFormat="1" ht="16.5">
      <c r="A3" s="32" t="s">
        <v>146</v>
      </c>
      <c r="B3" s="32" t="s">
        <v>147</v>
      </c>
      <c r="C3" s="32" t="s">
        <v>148</v>
      </c>
      <c r="D3" s="32">
        <v>77777777</v>
      </c>
      <c r="E3" s="32">
        <v>77777777</v>
      </c>
      <c r="F3" s="32" t="b">
        <v>1</v>
      </c>
      <c r="G3" s="32"/>
      <c r="H3" s="32"/>
      <c r="I3" s="32" t="s">
        <v>149</v>
      </c>
      <c r="J3" s="32" t="s">
        <v>150</v>
      </c>
      <c r="K3" s="32" t="b">
        <v>0</v>
      </c>
      <c r="L3" s="32"/>
      <c r="M3" s="32" t="s">
        <v>151</v>
      </c>
      <c r="N3" s="32" t="s">
        <v>152</v>
      </c>
      <c r="O3" s="35"/>
      <c r="P3" s="36"/>
      <c r="Q3" s="32"/>
      <c r="T3" s="32" t="s">
        <v>153</v>
      </c>
      <c r="W3" s="32"/>
      <c r="X3" s="32" t="s">
        <v>154</v>
      </c>
      <c r="AA3" s="32"/>
      <c r="AB3" s="32"/>
      <c r="AE3" s="32"/>
      <c r="AF3" s="32"/>
      <c r="AG3" s="38"/>
      <c r="AH3" s="38"/>
      <c r="AK3" s="38"/>
      <c r="AN3" s="38"/>
      <c r="AQ3" s="38"/>
      <c r="AT3" s="38"/>
      <c r="AW3" s="38"/>
      <c r="AX3" s="38"/>
      <c r="AY3" s="38"/>
      <c r="AZ3" s="38"/>
      <c r="BA3" s="38"/>
      <c r="BD3" s="38"/>
      <c r="BG3" s="38"/>
      <c r="BJ3" s="38"/>
      <c r="BK3" s="38"/>
      <c r="BL3" s="38"/>
      <c r="BM3" s="38"/>
      <c r="BP3" s="38"/>
      <c r="BS3" s="38"/>
      <c r="BT3" s="38"/>
      <c r="BU3" s="38"/>
      <c r="BV3" s="38"/>
      <c r="BY3" s="38"/>
      <c r="CB3" s="38"/>
      <c r="CC3" s="38"/>
      <c r="CF3" s="38"/>
      <c r="CI3" s="38"/>
      <c r="CL3" s="38"/>
      <c r="CO3" s="38"/>
      <c r="CR3" s="38"/>
      <c r="CS3" s="38"/>
      <c r="CV3" s="38"/>
      <c r="CY3" s="38"/>
      <c r="DB3" s="38"/>
      <c r="DC3" s="38"/>
      <c r="DF3" s="38"/>
      <c r="DI3" s="38"/>
      <c r="DL3" s="38"/>
      <c r="DO3" s="38"/>
      <c r="DR3" s="38"/>
      <c r="DS3" s="38"/>
      <c r="DT3" s="38"/>
      <c r="DW3" s="38"/>
      <c r="DZ3" s="38"/>
      <c r="EC3" s="38"/>
      <c r="EF3" s="38"/>
      <c r="EG3" s="38"/>
      <c r="EJ3" s="38"/>
      <c r="EK3" s="38"/>
      <c r="EN3" s="38"/>
      <c r="EQ3" s="38"/>
      <c r="ET3" s="38"/>
      <c r="EW3" s="38"/>
      <c r="EX3" s="32"/>
      <c r="EY3" s="38"/>
      <c r="FB3" s="38"/>
      <c r="FE3" s="38"/>
      <c r="FH3" s="38"/>
      <c r="FK3" s="38"/>
      <c r="FN3" s="38"/>
      <c r="FQ3" s="38"/>
      <c r="FR3" s="38"/>
      <c r="FS3" s="38"/>
      <c r="FT3" s="32"/>
      <c r="FU3" s="38"/>
      <c r="FX3" s="38"/>
      <c r="FY3" s="38"/>
      <c r="FZ3" s="38"/>
      <c r="GC3" s="38"/>
      <c r="GD3" s="38"/>
      <c r="GE3" s="38"/>
      <c r="GH3" s="38"/>
      <c r="GK3" s="38"/>
      <c r="GL3" s="38"/>
      <c r="GO3" s="38"/>
      <c r="GR3" s="38"/>
      <c r="GU3" s="38"/>
      <c r="GV3" s="38"/>
      <c r="GW3" s="38"/>
      <c r="GZ3" s="38"/>
      <c r="HA3" s="38"/>
      <c r="HD3" s="38"/>
      <c r="HG3" s="38"/>
      <c r="HJ3" s="38"/>
      <c r="HM3" s="38"/>
      <c r="HP3" s="38"/>
      <c r="HS3" s="38"/>
      <c r="HT3" s="38"/>
      <c r="HU3" s="38"/>
      <c r="HV3" s="32"/>
      <c r="HW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V3" s="32"/>
      <c r="IW3" s="38"/>
      <c r="IX3" s="38"/>
      <c r="IY3" s="32"/>
      <c r="IZ3" s="32"/>
      <c r="JA3" s="38"/>
      <c r="JB3" s="32"/>
      <c r="JC3" s="32"/>
      <c r="JD3" s="32"/>
      <c r="JE3" s="32"/>
      <c r="JF3" s="32"/>
      <c r="JG3" s="38">
        <v>3.05</v>
      </c>
      <c r="JH3" s="38">
        <v>0.5</v>
      </c>
      <c r="JI3" s="38">
        <v>0</v>
      </c>
      <c r="JJ3" s="38">
        <v>0</v>
      </c>
      <c r="JK3" s="38">
        <v>0</v>
      </c>
    </row>
    <row r="4" spans="1:271" ht="16.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3"/>
      <c r="BR4" s="37"/>
      <c r="BS4" s="37"/>
      <c r="BT4" s="37"/>
      <c r="BU4" s="37"/>
      <c r="BV4" s="37"/>
      <c r="BW4" s="37"/>
      <c r="BX4" s="37"/>
      <c r="BY4" s="37"/>
      <c r="BZ4" s="37"/>
      <c r="CA4" s="33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3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3"/>
      <c r="DX4" s="37"/>
      <c r="DY4" s="37"/>
      <c r="DZ4" s="33"/>
      <c r="EA4" s="33"/>
      <c r="EB4" s="37"/>
      <c r="EC4" s="33"/>
      <c r="ED4" s="33"/>
      <c r="EE4" s="33"/>
      <c r="EF4" s="33"/>
      <c r="EG4" s="33"/>
      <c r="EH4" s="37"/>
      <c r="EI4" s="37"/>
      <c r="EJ4" s="37"/>
      <c r="EK4" s="37"/>
      <c r="EL4" s="37"/>
      <c r="EO4" s="37"/>
    </row>
    <row r="5" spans="1:271" ht="16.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3"/>
      <c r="BR5" s="37"/>
      <c r="BS5" s="37"/>
      <c r="BT5" s="37"/>
      <c r="BU5" s="37"/>
      <c r="BV5" s="37"/>
      <c r="BW5" s="37"/>
      <c r="BX5" s="37"/>
      <c r="BY5" s="37"/>
      <c r="BZ5" s="37"/>
      <c r="CA5" s="33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3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3"/>
      <c r="DX5" s="37"/>
      <c r="DY5" s="37"/>
      <c r="DZ5" s="33"/>
      <c r="EA5" s="33"/>
      <c r="EB5" s="37"/>
      <c r="EC5" s="33"/>
      <c r="ED5" s="33"/>
      <c r="EE5" s="33"/>
      <c r="EF5" s="33"/>
      <c r="EG5" s="33"/>
      <c r="EH5" s="37"/>
      <c r="EI5" s="37"/>
      <c r="EJ5" s="37"/>
      <c r="EK5" s="37"/>
      <c r="EL5" s="37"/>
      <c r="EO5" s="37"/>
    </row>
    <row r="6" spans="1:271" ht="16.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3"/>
      <c r="BR6" s="37"/>
      <c r="BS6" s="37"/>
      <c r="BT6" s="37"/>
      <c r="BU6" s="37"/>
      <c r="BV6" s="37"/>
      <c r="BW6" s="37"/>
      <c r="BX6" s="37"/>
      <c r="BY6" s="37"/>
      <c r="BZ6" s="37"/>
      <c r="CA6" s="33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3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3"/>
      <c r="DX6" s="37"/>
      <c r="DY6" s="37"/>
      <c r="DZ6" s="33"/>
      <c r="EA6" s="33"/>
      <c r="EB6" s="37"/>
      <c r="EC6" s="33"/>
      <c r="ED6" s="33"/>
      <c r="EE6" s="33"/>
      <c r="EF6" s="33"/>
      <c r="EG6" s="33"/>
      <c r="EH6" s="37"/>
      <c r="EI6" s="37"/>
      <c r="EJ6" s="37"/>
      <c r="EK6" s="37"/>
      <c r="EL6" s="37"/>
      <c r="EO6" s="37"/>
    </row>
    <row r="7" spans="1:271" ht="16.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3"/>
      <c r="BR7" s="37"/>
      <c r="BS7" s="37"/>
      <c r="BT7" s="37"/>
      <c r="BU7" s="37"/>
      <c r="BV7" s="37"/>
      <c r="BW7" s="37"/>
      <c r="BX7" s="37"/>
      <c r="BY7" s="37"/>
      <c r="BZ7" s="37"/>
      <c r="CA7" s="33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3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3"/>
      <c r="DX7" s="37"/>
      <c r="DY7" s="37"/>
      <c r="DZ7" s="33"/>
      <c r="EA7" s="33"/>
      <c r="EB7" s="37"/>
      <c r="EC7" s="33"/>
      <c r="ED7" s="33"/>
      <c r="EE7" s="33"/>
      <c r="EF7" s="33"/>
      <c r="EG7" s="33"/>
      <c r="EH7" s="37"/>
      <c r="EI7" s="37"/>
      <c r="EJ7" s="37"/>
      <c r="EK7" s="37"/>
      <c r="EL7" s="37"/>
      <c r="EO7" s="37"/>
    </row>
    <row r="8" spans="1:271" ht="16.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3"/>
      <c r="BR8" s="37"/>
      <c r="BS8" s="37"/>
      <c r="BT8" s="37"/>
      <c r="BU8" s="37"/>
      <c r="BV8" s="37"/>
      <c r="BW8" s="37"/>
      <c r="BX8" s="37"/>
      <c r="BY8" s="37"/>
      <c r="BZ8" s="37"/>
      <c r="CA8" s="33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3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3"/>
      <c r="DX8" s="37"/>
      <c r="DY8" s="37"/>
      <c r="DZ8" s="33"/>
      <c r="EA8" s="33"/>
      <c r="EB8" s="37"/>
      <c r="EC8" s="33"/>
      <c r="ED8" s="33"/>
      <c r="EE8" s="33"/>
      <c r="EF8" s="33"/>
      <c r="EG8" s="33"/>
      <c r="EH8" s="37"/>
      <c r="EI8" s="37"/>
      <c r="EJ8" s="37"/>
      <c r="EK8" s="37"/>
      <c r="EL8" s="37"/>
      <c r="EO8" s="37"/>
    </row>
    <row r="9" spans="1:271" ht="16.5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3"/>
      <c r="BR9" s="37"/>
      <c r="BS9" s="37"/>
      <c r="BT9" s="37"/>
      <c r="BU9" s="37"/>
      <c r="BV9" s="37"/>
      <c r="BW9" s="37"/>
      <c r="BX9" s="37"/>
      <c r="BY9" s="37"/>
      <c r="BZ9" s="37"/>
      <c r="CA9" s="33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3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3"/>
      <c r="DX9" s="37"/>
      <c r="DY9" s="37"/>
      <c r="DZ9" s="33"/>
      <c r="EA9" s="33"/>
      <c r="EB9" s="37"/>
      <c r="EC9" s="33"/>
      <c r="ED9" s="33"/>
      <c r="EE9" s="33"/>
      <c r="EF9" s="33"/>
      <c r="EG9" s="33"/>
      <c r="EH9" s="37"/>
      <c r="EI9" s="37"/>
      <c r="EJ9" s="37"/>
      <c r="EK9" s="37"/>
      <c r="EL9" s="37"/>
      <c r="EO9" s="37"/>
    </row>
    <row r="10" spans="1:271" ht="16.5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3"/>
      <c r="BR10" s="37"/>
      <c r="BS10" s="37"/>
      <c r="BT10" s="37"/>
      <c r="BU10" s="37"/>
      <c r="BV10" s="37"/>
      <c r="BW10" s="37"/>
      <c r="BX10" s="37"/>
      <c r="BY10" s="37"/>
      <c r="BZ10" s="37"/>
      <c r="CA10" s="33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3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3"/>
      <c r="DX10" s="37"/>
      <c r="DY10" s="37"/>
      <c r="DZ10" s="33"/>
      <c r="EA10" s="33"/>
      <c r="EB10" s="37"/>
      <c r="EC10" s="33"/>
      <c r="ED10" s="33"/>
      <c r="EE10" s="33"/>
      <c r="EF10" s="33"/>
      <c r="EG10" s="33"/>
      <c r="EH10" s="37"/>
      <c r="EI10" s="37"/>
      <c r="EJ10" s="37"/>
      <c r="EK10" s="37"/>
      <c r="EL10" s="37"/>
      <c r="EO10" s="37"/>
    </row>
    <row r="11" spans="1:271" ht="16.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3"/>
      <c r="BR11" s="37"/>
      <c r="BS11" s="37"/>
      <c r="BT11" s="37"/>
      <c r="BU11" s="37"/>
      <c r="BV11" s="37"/>
      <c r="BW11" s="37"/>
      <c r="BX11" s="37"/>
      <c r="BY11" s="37"/>
      <c r="BZ11" s="37"/>
      <c r="CA11" s="33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3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3"/>
      <c r="DX11" s="37"/>
      <c r="DY11" s="37"/>
      <c r="DZ11" s="33"/>
      <c r="EA11" s="33"/>
      <c r="EB11" s="37"/>
      <c r="EC11" s="33"/>
      <c r="ED11" s="33"/>
      <c r="EE11" s="33"/>
      <c r="EF11" s="33"/>
      <c r="EG11" s="33"/>
      <c r="EH11" s="37"/>
      <c r="EI11" s="37"/>
      <c r="EJ11" s="37"/>
      <c r="EK11" s="37"/>
      <c r="EL11" s="37"/>
      <c r="EO11" s="37"/>
    </row>
    <row r="12" spans="1:271" ht="16.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3"/>
      <c r="BR12" s="37"/>
      <c r="BS12" s="37"/>
      <c r="BT12" s="37"/>
      <c r="BU12" s="37"/>
      <c r="BV12" s="37"/>
      <c r="BW12" s="37"/>
      <c r="BX12" s="37"/>
      <c r="BY12" s="37"/>
      <c r="BZ12" s="37"/>
      <c r="CA12" s="33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3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3"/>
      <c r="DX12" s="37"/>
      <c r="DY12" s="37"/>
      <c r="DZ12" s="33"/>
      <c r="EA12" s="33"/>
      <c r="EB12" s="37"/>
      <c r="EC12" s="33"/>
      <c r="ED12" s="33"/>
      <c r="EE12" s="33"/>
      <c r="EF12" s="33"/>
      <c r="EG12" s="33"/>
      <c r="EH12" s="37"/>
      <c r="EI12" s="37"/>
      <c r="EJ12" s="37"/>
      <c r="EK12" s="37"/>
      <c r="EL12" s="37"/>
      <c r="EO12" s="37"/>
    </row>
    <row r="13" spans="1:271" ht="16.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3"/>
      <c r="BR13" s="37"/>
      <c r="BS13" s="37"/>
      <c r="BT13" s="37"/>
      <c r="BU13" s="37"/>
      <c r="BV13" s="37"/>
      <c r="BW13" s="37"/>
      <c r="BX13" s="37"/>
      <c r="BY13" s="37"/>
      <c r="BZ13" s="37"/>
      <c r="CA13" s="33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3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3"/>
      <c r="DX13" s="37"/>
      <c r="DY13" s="37"/>
      <c r="DZ13" s="33"/>
      <c r="EA13" s="33"/>
      <c r="EB13" s="37"/>
      <c r="EC13" s="33"/>
      <c r="ED13" s="33"/>
      <c r="EE13" s="33"/>
      <c r="EF13" s="33"/>
      <c r="EG13" s="33"/>
      <c r="EH13" s="37"/>
      <c r="EI13" s="37"/>
      <c r="EJ13" s="37"/>
      <c r="EK13" s="37"/>
      <c r="EL13" s="37"/>
      <c r="EO13" s="37"/>
    </row>
    <row r="14" spans="1:271" ht="16.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3"/>
      <c r="BR14" s="37"/>
      <c r="BS14" s="37"/>
      <c r="BT14" s="37"/>
      <c r="BU14" s="37"/>
      <c r="BV14" s="37"/>
      <c r="BW14" s="37"/>
      <c r="BX14" s="37"/>
      <c r="BY14" s="37"/>
      <c r="BZ14" s="37"/>
      <c r="CA14" s="33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3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3"/>
      <c r="DX14" s="37"/>
      <c r="DY14" s="37"/>
      <c r="DZ14" s="33"/>
      <c r="EA14" s="33"/>
      <c r="EB14" s="37"/>
      <c r="EC14" s="33"/>
      <c r="ED14" s="33"/>
      <c r="EE14" s="33"/>
      <c r="EF14" s="33"/>
      <c r="EG14" s="33"/>
      <c r="EH14" s="37"/>
      <c r="EI14" s="37"/>
      <c r="EJ14" s="37"/>
      <c r="EK14" s="37"/>
      <c r="EL14" s="37"/>
      <c r="EO14" s="37"/>
    </row>
    <row r="15" spans="1:271" ht="16.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3"/>
      <c r="BR15" s="37"/>
      <c r="BS15" s="37"/>
      <c r="BT15" s="37"/>
      <c r="BU15" s="37"/>
      <c r="BV15" s="37"/>
      <c r="BW15" s="37"/>
      <c r="BX15" s="37"/>
      <c r="BY15" s="37"/>
      <c r="BZ15" s="37"/>
      <c r="CA15" s="33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3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3"/>
      <c r="DX15" s="37"/>
      <c r="DY15" s="37"/>
      <c r="DZ15" s="33"/>
      <c r="EA15" s="33"/>
      <c r="EB15" s="37"/>
      <c r="EC15" s="33"/>
      <c r="ED15" s="33"/>
      <c r="EE15" s="33"/>
      <c r="EF15" s="33"/>
      <c r="EG15" s="33"/>
      <c r="EH15" s="37"/>
      <c r="EI15" s="37"/>
      <c r="EJ15" s="37"/>
      <c r="EK15" s="37"/>
      <c r="EL15" s="37"/>
      <c r="EO15" s="37"/>
    </row>
    <row r="16" spans="1:271" ht="16.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3"/>
      <c r="BR16" s="37"/>
      <c r="BS16" s="37"/>
      <c r="BT16" s="37"/>
      <c r="BU16" s="37"/>
      <c r="BV16" s="37"/>
      <c r="BW16" s="37"/>
      <c r="BX16" s="37"/>
      <c r="BY16" s="37"/>
      <c r="BZ16" s="37"/>
      <c r="CA16" s="33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3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3"/>
      <c r="DX16" s="37"/>
      <c r="DY16" s="37"/>
      <c r="DZ16" s="33"/>
      <c r="EA16" s="33"/>
      <c r="EB16" s="37"/>
      <c r="EC16" s="33"/>
      <c r="ED16" s="33"/>
      <c r="EE16" s="33"/>
      <c r="EF16" s="33"/>
      <c r="EG16" s="33"/>
      <c r="EH16" s="37"/>
      <c r="EI16" s="37"/>
      <c r="EJ16" s="37"/>
      <c r="EK16" s="37"/>
      <c r="EL16" s="37"/>
      <c r="EO16" s="37"/>
    </row>
    <row r="17" spans="1:145" ht="16.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3"/>
      <c r="BR17" s="37"/>
      <c r="BS17" s="37"/>
      <c r="BT17" s="37"/>
      <c r="BU17" s="37"/>
      <c r="BV17" s="37"/>
      <c r="BW17" s="37"/>
      <c r="BX17" s="37"/>
      <c r="BY17" s="37"/>
      <c r="BZ17" s="37"/>
      <c r="CA17" s="33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3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3"/>
      <c r="DX17" s="37"/>
      <c r="DY17" s="37"/>
      <c r="DZ17" s="33"/>
      <c r="EA17" s="33"/>
      <c r="EB17" s="37"/>
      <c r="EC17" s="33"/>
      <c r="ED17" s="33"/>
      <c r="EE17" s="33"/>
      <c r="EF17" s="33"/>
      <c r="EG17" s="33"/>
      <c r="EH17" s="37"/>
      <c r="EI17" s="37"/>
      <c r="EJ17" s="37"/>
      <c r="EK17" s="37"/>
      <c r="EL17" s="37"/>
      <c r="EO17" s="37"/>
    </row>
    <row r="18" spans="1:145" ht="16.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3"/>
      <c r="BR18" s="37"/>
      <c r="BS18" s="37"/>
      <c r="BT18" s="37"/>
      <c r="BU18" s="37"/>
      <c r="BV18" s="37"/>
      <c r="BW18" s="37"/>
      <c r="BX18" s="37"/>
      <c r="BY18" s="37"/>
      <c r="BZ18" s="37"/>
      <c r="CA18" s="33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3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3"/>
      <c r="DX18" s="37"/>
      <c r="DY18" s="37"/>
      <c r="DZ18" s="33"/>
      <c r="EA18" s="33"/>
      <c r="EB18" s="37"/>
      <c r="EC18" s="33"/>
      <c r="ED18" s="33"/>
      <c r="EE18" s="33"/>
      <c r="EF18" s="33"/>
      <c r="EG18" s="33"/>
      <c r="EH18" s="37"/>
      <c r="EI18" s="37"/>
      <c r="EJ18" s="37"/>
      <c r="EK18" s="37"/>
      <c r="EL18" s="37"/>
      <c r="EO18" s="37"/>
    </row>
    <row r="19" spans="1:145" ht="16.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3"/>
      <c r="BR19" s="37"/>
      <c r="BS19" s="37"/>
      <c r="BT19" s="37"/>
      <c r="BU19" s="37"/>
      <c r="BV19" s="37"/>
      <c r="BW19" s="37"/>
      <c r="BX19" s="37"/>
      <c r="BY19" s="37"/>
      <c r="BZ19" s="37"/>
      <c r="CA19" s="33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3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3"/>
      <c r="DX19" s="37"/>
      <c r="DY19" s="37"/>
      <c r="DZ19" s="33"/>
      <c r="EA19" s="33"/>
      <c r="EB19" s="37"/>
      <c r="EC19" s="33"/>
      <c r="ED19" s="33"/>
      <c r="EE19" s="33"/>
      <c r="EF19" s="33"/>
      <c r="EG19" s="33"/>
      <c r="EH19" s="37"/>
      <c r="EI19" s="37"/>
      <c r="EJ19" s="37"/>
      <c r="EK19" s="37"/>
      <c r="EL19" s="37"/>
      <c r="EO19" s="37"/>
    </row>
    <row r="20" spans="1:145" ht="16.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3"/>
      <c r="BR20" s="37"/>
      <c r="BS20" s="37"/>
      <c r="BT20" s="37"/>
      <c r="BU20" s="37"/>
      <c r="BV20" s="37"/>
      <c r="BW20" s="37"/>
      <c r="BX20" s="37"/>
      <c r="BY20" s="37"/>
      <c r="BZ20" s="37"/>
      <c r="CA20" s="33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3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3"/>
      <c r="DX20" s="37"/>
      <c r="DY20" s="37"/>
      <c r="DZ20" s="33"/>
      <c r="EA20" s="33"/>
      <c r="EB20" s="37"/>
      <c r="EC20" s="33"/>
      <c r="ED20" s="33"/>
      <c r="EE20" s="33"/>
      <c r="EF20" s="33"/>
      <c r="EG20" s="33"/>
      <c r="EH20" s="37"/>
      <c r="EI20" s="37"/>
      <c r="EJ20" s="37"/>
      <c r="EK20" s="37"/>
      <c r="EL20" s="37"/>
      <c r="EO20" s="37"/>
    </row>
    <row r="21" spans="1:145" ht="16.5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3"/>
      <c r="BR21" s="37"/>
      <c r="BS21" s="37"/>
      <c r="BT21" s="37"/>
      <c r="BU21" s="37"/>
      <c r="BV21" s="37"/>
      <c r="BW21" s="37"/>
      <c r="BX21" s="37"/>
      <c r="BY21" s="37"/>
      <c r="BZ21" s="37"/>
      <c r="CA21" s="33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3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3"/>
      <c r="DX21" s="37"/>
      <c r="DY21" s="37"/>
      <c r="DZ21" s="33"/>
      <c r="EA21" s="33"/>
      <c r="EB21" s="37"/>
      <c r="EC21" s="33"/>
      <c r="ED21" s="33"/>
      <c r="EE21" s="33"/>
      <c r="EF21" s="33"/>
      <c r="EG21" s="33"/>
      <c r="EH21" s="37"/>
      <c r="EI21" s="37"/>
      <c r="EJ21" s="37"/>
      <c r="EK21" s="37"/>
      <c r="EL21" s="37"/>
      <c r="EO21" s="37"/>
    </row>
    <row r="22" spans="1:145" ht="16.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3"/>
      <c r="BR22" s="37"/>
      <c r="BS22" s="37"/>
      <c r="BT22" s="37"/>
      <c r="BU22" s="37"/>
      <c r="BV22" s="37"/>
      <c r="BW22" s="37"/>
      <c r="BX22" s="37"/>
      <c r="BY22" s="37"/>
      <c r="BZ22" s="37"/>
      <c r="CA22" s="33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3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3"/>
      <c r="DX22" s="37"/>
      <c r="DY22" s="37"/>
      <c r="DZ22" s="33"/>
      <c r="EA22" s="33"/>
      <c r="EB22" s="37"/>
      <c r="EC22" s="33"/>
      <c r="ED22" s="33"/>
      <c r="EE22" s="33"/>
      <c r="EF22" s="33"/>
      <c r="EG22" s="33"/>
      <c r="EH22" s="37"/>
      <c r="EI22" s="37"/>
      <c r="EJ22" s="37"/>
      <c r="EK22" s="37"/>
      <c r="EL22" s="37"/>
      <c r="EO22" s="37"/>
    </row>
    <row r="23" spans="1:145" ht="16.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3"/>
      <c r="BR23" s="37"/>
      <c r="BS23" s="37"/>
      <c r="BT23" s="37"/>
      <c r="BU23" s="37"/>
      <c r="BV23" s="37"/>
      <c r="BW23" s="37"/>
      <c r="BX23" s="37"/>
      <c r="BY23" s="37"/>
      <c r="BZ23" s="37"/>
      <c r="CA23" s="33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3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3"/>
      <c r="DX23" s="37"/>
      <c r="DY23" s="37"/>
      <c r="DZ23" s="33"/>
      <c r="EA23" s="33"/>
      <c r="EB23" s="37"/>
      <c r="EC23" s="33"/>
      <c r="ED23" s="33"/>
      <c r="EE23" s="33"/>
      <c r="EF23" s="33"/>
      <c r="EG23" s="33"/>
      <c r="EH23" s="37"/>
      <c r="EI23" s="37"/>
      <c r="EJ23" s="37"/>
      <c r="EK23" s="37"/>
      <c r="EL23" s="37"/>
      <c r="EO23" s="37"/>
    </row>
    <row r="24" spans="1:145" ht="16.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3"/>
      <c r="BR24" s="37"/>
      <c r="BS24" s="37"/>
      <c r="BT24" s="37"/>
      <c r="BU24" s="37"/>
      <c r="BV24" s="37"/>
      <c r="BW24" s="37"/>
      <c r="BX24" s="37"/>
      <c r="BY24" s="37"/>
      <c r="BZ24" s="37"/>
      <c r="CA24" s="33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3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3"/>
      <c r="DX24" s="37"/>
      <c r="DY24" s="37"/>
      <c r="DZ24" s="33"/>
      <c r="EA24" s="33"/>
      <c r="EB24" s="37"/>
      <c r="EC24" s="33"/>
      <c r="ED24" s="33"/>
      <c r="EE24" s="33"/>
      <c r="EF24" s="33"/>
      <c r="EG24" s="33"/>
      <c r="EH24" s="37"/>
      <c r="EI24" s="37"/>
      <c r="EJ24" s="37"/>
      <c r="EK24" s="37"/>
      <c r="EL24" s="37"/>
      <c r="EO24" s="37"/>
    </row>
    <row r="25" spans="1:145" ht="16.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3"/>
      <c r="BR25" s="37"/>
      <c r="BS25" s="37"/>
      <c r="BT25" s="37"/>
      <c r="BU25" s="37"/>
      <c r="BV25" s="37"/>
      <c r="BW25" s="37"/>
      <c r="BX25" s="37"/>
      <c r="BY25" s="37"/>
      <c r="BZ25" s="37"/>
      <c r="CA25" s="33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3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3"/>
      <c r="DX25" s="37"/>
      <c r="DY25" s="37"/>
      <c r="DZ25" s="33"/>
      <c r="EA25" s="33"/>
      <c r="EB25" s="37"/>
      <c r="EC25" s="33"/>
      <c r="ED25" s="33"/>
      <c r="EE25" s="33"/>
      <c r="EF25" s="33"/>
      <c r="EG25" s="33"/>
      <c r="EH25" s="37"/>
      <c r="EI25" s="37"/>
      <c r="EJ25" s="37"/>
      <c r="EK25" s="37"/>
      <c r="EL25" s="37"/>
      <c r="EO25" s="37"/>
    </row>
    <row r="26" spans="1:145" ht="16.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3"/>
      <c r="BR26" s="37"/>
      <c r="BS26" s="37"/>
      <c r="BT26" s="37"/>
      <c r="BU26" s="37"/>
      <c r="BV26" s="37"/>
      <c r="BW26" s="37"/>
      <c r="BX26" s="37"/>
      <c r="BY26" s="37"/>
      <c r="BZ26" s="37"/>
      <c r="CA26" s="33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3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3"/>
      <c r="DX26" s="37"/>
      <c r="DY26" s="37"/>
      <c r="DZ26" s="33"/>
      <c r="EA26" s="33"/>
      <c r="EB26" s="37"/>
      <c r="EC26" s="33"/>
      <c r="ED26" s="33"/>
      <c r="EE26" s="33"/>
      <c r="EF26" s="33"/>
      <c r="EG26" s="33"/>
      <c r="EH26" s="37"/>
      <c r="EI26" s="37"/>
      <c r="EJ26" s="37"/>
      <c r="EK26" s="37"/>
      <c r="EL26" s="37"/>
      <c r="EO26" s="37"/>
    </row>
    <row r="27" spans="1:145" ht="16.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3"/>
      <c r="BR27" s="37"/>
      <c r="BS27" s="37"/>
      <c r="BT27" s="37"/>
      <c r="BU27" s="37"/>
      <c r="BV27" s="37"/>
      <c r="BW27" s="37"/>
      <c r="BX27" s="37"/>
      <c r="BY27" s="37"/>
      <c r="BZ27" s="37"/>
      <c r="CA27" s="33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3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3"/>
      <c r="DX27" s="37"/>
      <c r="DY27" s="37"/>
      <c r="DZ27" s="33"/>
      <c r="EA27" s="33"/>
      <c r="EB27" s="37"/>
      <c r="EC27" s="33"/>
      <c r="ED27" s="33"/>
      <c r="EE27" s="33"/>
      <c r="EF27" s="33"/>
      <c r="EG27" s="33"/>
      <c r="EH27" s="37"/>
      <c r="EI27" s="37"/>
      <c r="EJ27" s="37"/>
      <c r="EK27" s="37"/>
      <c r="EL27" s="37"/>
      <c r="EO27" s="37"/>
    </row>
    <row r="28" spans="1:145" ht="16.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3"/>
      <c r="BR28" s="37"/>
      <c r="BS28" s="37"/>
      <c r="BT28" s="37"/>
      <c r="BU28" s="37"/>
      <c r="BV28" s="37"/>
      <c r="BW28" s="37"/>
      <c r="BX28" s="37"/>
      <c r="BY28" s="37"/>
      <c r="BZ28" s="37"/>
      <c r="CA28" s="33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3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3"/>
      <c r="DX28" s="37"/>
      <c r="DY28" s="37"/>
      <c r="DZ28" s="33"/>
      <c r="EA28" s="33"/>
      <c r="EB28" s="37"/>
      <c r="EC28" s="33"/>
      <c r="ED28" s="33"/>
      <c r="EE28" s="33"/>
      <c r="EF28" s="33"/>
      <c r="EG28" s="33"/>
      <c r="EH28" s="37"/>
      <c r="EI28" s="37"/>
      <c r="EJ28" s="37"/>
      <c r="EK28" s="37"/>
      <c r="EL28" s="37"/>
      <c r="EO28" s="37"/>
    </row>
    <row r="29" spans="1:145" ht="16.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3"/>
      <c r="BR29" s="37"/>
      <c r="BS29" s="37"/>
      <c r="BT29" s="37"/>
      <c r="BU29" s="37"/>
      <c r="BV29" s="37"/>
      <c r="BW29" s="37"/>
      <c r="BX29" s="37"/>
      <c r="BY29" s="37"/>
      <c r="BZ29" s="37"/>
      <c r="CA29" s="33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3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3"/>
      <c r="DX29" s="37"/>
      <c r="DY29" s="37"/>
      <c r="DZ29" s="33"/>
      <c r="EA29" s="33"/>
      <c r="EB29" s="37"/>
      <c r="EC29" s="33"/>
      <c r="ED29" s="33"/>
      <c r="EE29" s="33"/>
      <c r="EF29" s="33"/>
      <c r="EG29" s="33"/>
      <c r="EH29" s="37"/>
      <c r="EI29" s="37"/>
      <c r="EJ29" s="37"/>
      <c r="EK29" s="37"/>
      <c r="EL29" s="37"/>
      <c r="EO29" s="37"/>
    </row>
    <row r="30" spans="1:145" ht="16.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3"/>
      <c r="BR30" s="37"/>
      <c r="BS30" s="37"/>
      <c r="BT30" s="37"/>
      <c r="BU30" s="37"/>
      <c r="BV30" s="37"/>
      <c r="BW30" s="37"/>
      <c r="BX30" s="37"/>
      <c r="BY30" s="37"/>
      <c r="BZ30" s="37"/>
      <c r="CA30" s="33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3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3"/>
      <c r="DX30" s="37"/>
      <c r="DY30" s="37"/>
      <c r="DZ30" s="33"/>
      <c r="EA30" s="33"/>
      <c r="EB30" s="37"/>
      <c r="EC30" s="33"/>
      <c r="ED30" s="33"/>
      <c r="EE30" s="33"/>
      <c r="EF30" s="33"/>
      <c r="EG30" s="33"/>
      <c r="EH30" s="37"/>
      <c r="EI30" s="37"/>
      <c r="EJ30" s="37"/>
      <c r="EK30" s="37"/>
      <c r="EL30" s="37"/>
      <c r="EO30" s="37"/>
    </row>
    <row r="31" spans="1:145" ht="16.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3"/>
      <c r="BR31" s="37"/>
      <c r="BS31" s="37"/>
      <c r="BT31" s="37"/>
      <c r="BU31" s="37"/>
      <c r="BV31" s="37"/>
      <c r="BW31" s="37"/>
      <c r="BX31" s="37"/>
      <c r="BY31" s="37"/>
      <c r="BZ31" s="37"/>
      <c r="CA31" s="33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3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3"/>
      <c r="DX31" s="37"/>
      <c r="DY31" s="37"/>
      <c r="DZ31" s="33"/>
      <c r="EA31" s="33"/>
      <c r="EB31" s="37"/>
      <c r="EC31" s="33"/>
      <c r="ED31" s="33"/>
      <c r="EE31" s="33"/>
      <c r="EF31" s="33"/>
      <c r="EG31" s="33"/>
      <c r="EH31" s="37"/>
      <c r="EI31" s="37"/>
      <c r="EJ31" s="37"/>
      <c r="EK31" s="37"/>
      <c r="EL31" s="37"/>
      <c r="EO31" s="37"/>
    </row>
    <row r="32" spans="1:145" ht="16.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3"/>
      <c r="BR32" s="37"/>
      <c r="BS32" s="37"/>
      <c r="BT32" s="37"/>
      <c r="BU32" s="37"/>
      <c r="BV32" s="37"/>
      <c r="BW32" s="37"/>
      <c r="BX32" s="37"/>
      <c r="BY32" s="37"/>
      <c r="BZ32" s="37"/>
      <c r="CA32" s="33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3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3"/>
      <c r="DX32" s="37"/>
      <c r="DY32" s="37"/>
      <c r="DZ32" s="33"/>
      <c r="EA32" s="33"/>
      <c r="EB32" s="37"/>
      <c r="EC32" s="33"/>
      <c r="ED32" s="33"/>
      <c r="EE32" s="33"/>
      <c r="EF32" s="33"/>
      <c r="EG32" s="33"/>
      <c r="EH32" s="37"/>
      <c r="EI32" s="37"/>
      <c r="EJ32" s="37"/>
      <c r="EK32" s="37"/>
      <c r="EL32" s="37"/>
      <c r="EO32" s="37"/>
    </row>
    <row r="33" spans="1:145" ht="16.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3"/>
      <c r="BR33" s="37"/>
      <c r="BS33" s="37"/>
      <c r="BT33" s="37"/>
      <c r="BU33" s="37"/>
      <c r="BV33" s="37"/>
      <c r="BW33" s="37"/>
      <c r="BX33" s="37"/>
      <c r="BY33" s="37"/>
      <c r="BZ33" s="37"/>
      <c r="CA33" s="33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3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3"/>
      <c r="DX33" s="37"/>
      <c r="DY33" s="37"/>
      <c r="DZ33" s="33"/>
      <c r="EA33" s="33"/>
      <c r="EB33" s="37"/>
      <c r="EC33" s="33"/>
      <c r="ED33" s="33"/>
      <c r="EE33" s="33"/>
      <c r="EF33" s="33"/>
      <c r="EG33" s="33"/>
      <c r="EH33" s="37"/>
      <c r="EI33" s="37"/>
      <c r="EJ33" s="37"/>
      <c r="EK33" s="37"/>
      <c r="EL33" s="37"/>
      <c r="EO33" s="37"/>
    </row>
    <row r="34" spans="1:145" ht="16.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3"/>
      <c r="BR34" s="37"/>
      <c r="BS34" s="37"/>
      <c r="BT34" s="37"/>
      <c r="BU34" s="37"/>
      <c r="BV34" s="37"/>
      <c r="BW34" s="37"/>
      <c r="BX34" s="37"/>
      <c r="BY34" s="37"/>
      <c r="BZ34" s="37"/>
      <c r="CA34" s="33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3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3"/>
      <c r="DX34" s="37"/>
      <c r="DY34" s="37"/>
      <c r="DZ34" s="33"/>
      <c r="EA34" s="33"/>
      <c r="EB34" s="37"/>
      <c r="EC34" s="33"/>
      <c r="ED34" s="33"/>
      <c r="EE34" s="33"/>
      <c r="EF34" s="33"/>
      <c r="EG34" s="33"/>
      <c r="EH34" s="37"/>
      <c r="EI34" s="37"/>
      <c r="EJ34" s="37"/>
      <c r="EK34" s="37"/>
      <c r="EL34" s="37"/>
      <c r="EO34" s="37"/>
    </row>
    <row r="35" spans="1:145" ht="16.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3"/>
      <c r="BR35" s="37"/>
      <c r="BS35" s="37"/>
      <c r="BT35" s="37"/>
      <c r="BU35" s="37"/>
      <c r="BV35" s="37"/>
      <c r="BW35" s="37"/>
      <c r="BX35" s="37"/>
      <c r="BY35" s="37"/>
      <c r="BZ35" s="37"/>
      <c r="CA35" s="33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3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3"/>
      <c r="DX35" s="37"/>
      <c r="DY35" s="37"/>
      <c r="DZ35" s="33"/>
      <c r="EA35" s="33"/>
      <c r="EB35" s="37"/>
      <c r="EC35" s="33"/>
      <c r="ED35" s="33"/>
      <c r="EE35" s="33"/>
      <c r="EF35" s="33"/>
      <c r="EG35" s="33"/>
      <c r="EH35" s="37"/>
      <c r="EI35" s="37"/>
      <c r="EJ35" s="37"/>
      <c r="EK35" s="37"/>
      <c r="EL35" s="37"/>
      <c r="EO35" s="37"/>
    </row>
    <row r="36" spans="1:145" ht="16.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3"/>
      <c r="BR36" s="37"/>
      <c r="BS36" s="37"/>
      <c r="BT36" s="37"/>
      <c r="BU36" s="37"/>
      <c r="BV36" s="37"/>
      <c r="BW36" s="37"/>
      <c r="BX36" s="37"/>
      <c r="BY36" s="37"/>
      <c r="BZ36" s="37"/>
      <c r="CA36" s="33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3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3"/>
      <c r="DX36" s="37"/>
      <c r="DY36" s="37"/>
      <c r="DZ36" s="33"/>
      <c r="EA36" s="33"/>
      <c r="EB36" s="37"/>
      <c r="EC36" s="33"/>
      <c r="ED36" s="33"/>
      <c r="EE36" s="33"/>
      <c r="EF36" s="33"/>
      <c r="EG36" s="33"/>
      <c r="EH36" s="37"/>
      <c r="EI36" s="37"/>
      <c r="EJ36" s="37"/>
      <c r="EK36" s="37"/>
      <c r="EL36" s="37"/>
      <c r="EO36" s="37"/>
    </row>
    <row r="37" spans="1:145" ht="16.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3"/>
      <c r="BR37" s="37"/>
      <c r="BS37" s="37"/>
      <c r="BT37" s="37"/>
      <c r="BU37" s="37"/>
      <c r="BV37" s="37"/>
      <c r="BW37" s="37"/>
      <c r="BX37" s="37"/>
      <c r="BY37" s="37"/>
      <c r="BZ37" s="37"/>
      <c r="CA37" s="33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3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3"/>
      <c r="DX37" s="37"/>
      <c r="DY37" s="37"/>
      <c r="DZ37" s="33"/>
      <c r="EA37" s="33"/>
      <c r="EB37" s="37"/>
      <c r="EC37" s="33"/>
      <c r="ED37" s="33"/>
      <c r="EE37" s="33"/>
      <c r="EF37" s="33"/>
      <c r="EG37" s="33"/>
      <c r="EH37" s="37"/>
      <c r="EI37" s="37"/>
      <c r="EJ37" s="37"/>
      <c r="EK37" s="37"/>
      <c r="EL37" s="37"/>
      <c r="EO37" s="37"/>
    </row>
    <row r="38" spans="1:145" ht="16.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3"/>
      <c r="BR38" s="37"/>
      <c r="BS38" s="37"/>
      <c r="BT38" s="37"/>
      <c r="BU38" s="37"/>
      <c r="BV38" s="37"/>
      <c r="BW38" s="37"/>
      <c r="BX38" s="37"/>
      <c r="BY38" s="37"/>
      <c r="BZ38" s="37"/>
      <c r="CA38" s="33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3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3"/>
      <c r="DX38" s="37"/>
      <c r="DY38" s="37"/>
      <c r="DZ38" s="33"/>
      <c r="EA38" s="33"/>
      <c r="EB38" s="37"/>
      <c r="EC38" s="33"/>
      <c r="ED38" s="33"/>
      <c r="EE38" s="33"/>
      <c r="EF38" s="33"/>
      <c r="EG38" s="33"/>
      <c r="EH38" s="37"/>
      <c r="EI38" s="37"/>
      <c r="EJ38" s="37"/>
      <c r="EK38" s="37"/>
      <c r="EL38" s="37"/>
      <c r="EO38" s="37"/>
    </row>
    <row r="39" spans="1:145" ht="16.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3"/>
      <c r="BR39" s="37"/>
      <c r="BS39" s="37"/>
      <c r="BT39" s="37"/>
      <c r="BU39" s="37"/>
      <c r="BV39" s="37"/>
      <c r="BW39" s="37"/>
      <c r="BX39" s="37"/>
      <c r="BY39" s="37"/>
      <c r="BZ39" s="37"/>
      <c r="CA39" s="33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3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3"/>
      <c r="DX39" s="37"/>
      <c r="DY39" s="37"/>
      <c r="DZ39" s="33"/>
      <c r="EA39" s="33"/>
      <c r="EB39" s="37"/>
      <c r="EC39" s="33"/>
      <c r="ED39" s="33"/>
      <c r="EE39" s="33"/>
      <c r="EF39" s="33"/>
      <c r="EG39" s="33"/>
      <c r="EH39" s="37"/>
      <c r="EI39" s="37"/>
      <c r="EJ39" s="37"/>
      <c r="EK39" s="37"/>
      <c r="EL39" s="37"/>
      <c r="EO39" s="37"/>
    </row>
    <row r="40" spans="1:145" ht="16.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3"/>
      <c r="BR40" s="37"/>
      <c r="BS40" s="37"/>
      <c r="BT40" s="37"/>
      <c r="BU40" s="37"/>
      <c r="BV40" s="37"/>
      <c r="BW40" s="37"/>
      <c r="BX40" s="37"/>
      <c r="BY40" s="37"/>
      <c r="BZ40" s="37"/>
      <c r="CA40" s="33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3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3"/>
      <c r="DX40" s="37"/>
      <c r="DY40" s="37"/>
      <c r="DZ40" s="33"/>
      <c r="EA40" s="33"/>
      <c r="EB40" s="37"/>
      <c r="EC40" s="33"/>
      <c r="ED40" s="33"/>
      <c r="EE40" s="33"/>
      <c r="EF40" s="33"/>
      <c r="EG40" s="33"/>
      <c r="EH40" s="37"/>
      <c r="EI40" s="37"/>
      <c r="EJ40" s="37"/>
      <c r="EK40" s="37"/>
      <c r="EL40" s="37"/>
      <c r="EO40" s="37"/>
    </row>
    <row r="41" spans="1:145" ht="16.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3"/>
      <c r="BR41" s="37"/>
      <c r="BS41" s="37"/>
      <c r="BT41" s="37"/>
      <c r="BU41" s="37"/>
      <c r="BV41" s="37"/>
      <c r="BW41" s="37"/>
      <c r="BX41" s="37"/>
      <c r="BY41" s="37"/>
      <c r="BZ41" s="37"/>
      <c r="CA41" s="33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3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3"/>
      <c r="DX41" s="37"/>
      <c r="DY41" s="37"/>
      <c r="DZ41" s="33"/>
      <c r="EA41" s="33"/>
      <c r="EB41" s="37"/>
      <c r="EC41" s="33"/>
      <c r="ED41" s="33"/>
      <c r="EE41" s="33"/>
      <c r="EF41" s="33"/>
      <c r="EG41" s="33"/>
      <c r="EH41" s="37"/>
      <c r="EI41" s="37"/>
      <c r="EJ41" s="37"/>
      <c r="EK41" s="37"/>
      <c r="EL41" s="37"/>
      <c r="EO41" s="37"/>
    </row>
    <row r="42" spans="1:145" ht="16.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3"/>
      <c r="BR42" s="37"/>
      <c r="BS42" s="37"/>
      <c r="BT42" s="37"/>
      <c r="BU42" s="37"/>
      <c r="BV42" s="37"/>
      <c r="BW42" s="37"/>
      <c r="BX42" s="37"/>
      <c r="BY42" s="37"/>
      <c r="BZ42" s="37"/>
      <c r="CA42" s="33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3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3"/>
      <c r="DX42" s="37"/>
      <c r="DY42" s="37"/>
      <c r="DZ42" s="33"/>
      <c r="EA42" s="33"/>
      <c r="EB42" s="37"/>
      <c r="EC42" s="33"/>
      <c r="ED42" s="33"/>
      <c r="EE42" s="33"/>
      <c r="EF42" s="33"/>
      <c r="EG42" s="33"/>
      <c r="EH42" s="37"/>
      <c r="EI42" s="37"/>
      <c r="EJ42" s="37"/>
      <c r="EK42" s="37"/>
      <c r="EL42" s="37"/>
      <c r="EO42" s="37"/>
    </row>
    <row r="43" spans="1:145" ht="16.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3"/>
      <c r="BR43" s="37"/>
      <c r="BS43" s="37"/>
      <c r="BT43" s="37"/>
      <c r="BU43" s="37"/>
      <c r="BV43" s="37"/>
      <c r="BW43" s="37"/>
      <c r="BX43" s="37"/>
      <c r="BY43" s="37"/>
      <c r="BZ43" s="37"/>
      <c r="CA43" s="33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3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3"/>
      <c r="DX43" s="37"/>
      <c r="DY43" s="37"/>
      <c r="DZ43" s="33"/>
      <c r="EA43" s="33"/>
      <c r="EB43" s="37"/>
      <c r="EC43" s="33"/>
      <c r="ED43" s="33"/>
      <c r="EE43" s="33"/>
      <c r="EF43" s="33"/>
      <c r="EG43" s="33"/>
      <c r="EH43" s="37"/>
      <c r="EI43" s="37"/>
      <c r="EJ43" s="37"/>
      <c r="EK43" s="37"/>
      <c r="EL43" s="37"/>
      <c r="EO43" s="37"/>
    </row>
    <row r="44" spans="1:145" ht="16.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3"/>
      <c r="BR44" s="37"/>
      <c r="BS44" s="37"/>
      <c r="BT44" s="37"/>
      <c r="BU44" s="37"/>
      <c r="BV44" s="37"/>
      <c r="BW44" s="37"/>
      <c r="BX44" s="37"/>
      <c r="BY44" s="37"/>
      <c r="BZ44" s="37"/>
      <c r="CA44" s="33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3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3"/>
      <c r="DX44" s="37"/>
      <c r="DY44" s="37"/>
      <c r="DZ44" s="33"/>
      <c r="EA44" s="33"/>
      <c r="EB44" s="37"/>
      <c r="EC44" s="33"/>
      <c r="ED44" s="33"/>
      <c r="EE44" s="33"/>
      <c r="EF44" s="33"/>
      <c r="EG44" s="33"/>
      <c r="EH44" s="37"/>
      <c r="EI44" s="37"/>
      <c r="EJ44" s="37"/>
      <c r="EK44" s="37"/>
      <c r="EL44" s="37"/>
      <c r="EO44" s="37"/>
    </row>
    <row r="45" spans="1:145" ht="16.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3"/>
      <c r="BR45" s="37"/>
      <c r="BS45" s="37"/>
      <c r="BT45" s="37"/>
      <c r="BU45" s="37"/>
      <c r="BV45" s="37"/>
      <c r="BW45" s="37"/>
      <c r="BX45" s="37"/>
      <c r="BY45" s="37"/>
      <c r="BZ45" s="37"/>
      <c r="CA45" s="33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3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3"/>
      <c r="DX45" s="37"/>
      <c r="DY45" s="37"/>
      <c r="DZ45" s="33"/>
      <c r="EA45" s="33"/>
      <c r="EB45" s="37"/>
      <c r="EC45" s="33"/>
      <c r="ED45" s="33"/>
      <c r="EE45" s="33"/>
      <c r="EF45" s="33"/>
      <c r="EG45" s="33"/>
      <c r="EH45" s="37"/>
      <c r="EI45" s="37"/>
      <c r="EJ45" s="37"/>
      <c r="EK45" s="37"/>
      <c r="EL45" s="37"/>
      <c r="EO45" s="37"/>
    </row>
    <row r="46" spans="1:145" ht="16.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3"/>
      <c r="BR46" s="37"/>
      <c r="BS46" s="37"/>
      <c r="BT46" s="37"/>
      <c r="BU46" s="37"/>
      <c r="BV46" s="37"/>
      <c r="BW46" s="37"/>
      <c r="BX46" s="37"/>
      <c r="BY46" s="37"/>
      <c r="BZ46" s="37"/>
      <c r="CA46" s="33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3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3"/>
      <c r="DX46" s="37"/>
      <c r="DY46" s="37"/>
      <c r="DZ46" s="33"/>
      <c r="EA46" s="33"/>
      <c r="EB46" s="37"/>
      <c r="EC46" s="33"/>
      <c r="ED46" s="33"/>
      <c r="EE46" s="33"/>
      <c r="EF46" s="33"/>
      <c r="EG46" s="33"/>
      <c r="EH46" s="37"/>
      <c r="EI46" s="37"/>
      <c r="EJ46" s="37"/>
      <c r="EK46" s="37"/>
      <c r="EL46" s="37"/>
      <c r="EO46" s="37"/>
    </row>
    <row r="47" spans="1:145" ht="16.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3"/>
      <c r="BR47" s="37"/>
      <c r="BS47" s="37"/>
      <c r="BT47" s="37"/>
      <c r="BU47" s="37"/>
      <c r="BV47" s="37"/>
      <c r="BW47" s="37"/>
      <c r="BX47" s="37"/>
      <c r="BY47" s="37"/>
      <c r="BZ47" s="37"/>
      <c r="CA47" s="33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3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3"/>
      <c r="DX47" s="37"/>
      <c r="DY47" s="37"/>
      <c r="DZ47" s="33"/>
      <c r="EA47" s="33"/>
      <c r="EB47" s="37"/>
      <c r="EC47" s="33"/>
      <c r="ED47" s="33"/>
      <c r="EE47" s="33"/>
      <c r="EF47" s="33"/>
      <c r="EG47" s="33"/>
      <c r="EH47" s="37"/>
      <c r="EI47" s="37"/>
      <c r="EJ47" s="37"/>
      <c r="EK47" s="37"/>
      <c r="EL47" s="37"/>
      <c r="EO47" s="37"/>
    </row>
    <row r="48" spans="1:145" ht="16.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3"/>
      <c r="BR48" s="37"/>
      <c r="BS48" s="37"/>
      <c r="BT48" s="37"/>
      <c r="BU48" s="37"/>
      <c r="BV48" s="37"/>
      <c r="BW48" s="37"/>
      <c r="BX48" s="37"/>
      <c r="BY48" s="37"/>
      <c r="BZ48" s="37"/>
      <c r="CA48" s="33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3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3"/>
      <c r="DX48" s="37"/>
      <c r="DY48" s="37"/>
      <c r="DZ48" s="33"/>
      <c r="EA48" s="33"/>
      <c r="EB48" s="37"/>
      <c r="EC48" s="33"/>
      <c r="ED48" s="33"/>
      <c r="EE48" s="33"/>
      <c r="EF48" s="33"/>
      <c r="EG48" s="33"/>
      <c r="EH48" s="37"/>
      <c r="EI48" s="37"/>
      <c r="EJ48" s="37"/>
      <c r="EK48" s="37"/>
      <c r="EL48" s="37"/>
      <c r="EO48" s="37"/>
    </row>
    <row r="49" spans="1:145" ht="16.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3"/>
      <c r="BR49" s="37"/>
      <c r="BS49" s="37"/>
      <c r="BT49" s="37"/>
      <c r="BU49" s="37"/>
      <c r="BV49" s="37"/>
      <c r="BW49" s="37"/>
      <c r="BX49" s="37"/>
      <c r="BY49" s="37"/>
      <c r="BZ49" s="37"/>
      <c r="CA49" s="33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3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3"/>
      <c r="DX49" s="37"/>
      <c r="DY49" s="37"/>
      <c r="DZ49" s="33"/>
      <c r="EA49" s="33"/>
      <c r="EB49" s="37"/>
      <c r="EC49" s="33"/>
      <c r="ED49" s="33"/>
      <c r="EE49" s="33"/>
      <c r="EF49" s="33"/>
      <c r="EG49" s="33"/>
      <c r="EH49" s="37"/>
      <c r="EI49" s="37"/>
      <c r="EJ49" s="37"/>
      <c r="EK49" s="37"/>
      <c r="EL49" s="37"/>
      <c r="EO49" s="37"/>
    </row>
    <row r="50" spans="1:145" ht="16.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3"/>
      <c r="BR50" s="37"/>
      <c r="BS50" s="37"/>
      <c r="BT50" s="37"/>
      <c r="BU50" s="37"/>
      <c r="BV50" s="37"/>
      <c r="BW50" s="37"/>
      <c r="BX50" s="37"/>
      <c r="BY50" s="37"/>
      <c r="BZ50" s="37"/>
      <c r="CA50" s="33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3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3"/>
      <c r="DX50" s="37"/>
      <c r="DY50" s="37"/>
      <c r="DZ50" s="33"/>
      <c r="EA50" s="33"/>
      <c r="EB50" s="37"/>
      <c r="EC50" s="33"/>
      <c r="ED50" s="33"/>
      <c r="EE50" s="33"/>
      <c r="EF50" s="33"/>
      <c r="EG50" s="33"/>
      <c r="EH50" s="37"/>
      <c r="EI50" s="37"/>
      <c r="EJ50" s="37"/>
      <c r="EK50" s="37"/>
      <c r="EL50" s="37"/>
      <c r="EO50" s="37"/>
    </row>
    <row r="51" spans="1:145" ht="16.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3"/>
      <c r="BR51" s="37"/>
      <c r="BS51" s="37"/>
      <c r="BT51" s="37"/>
      <c r="BU51" s="37"/>
      <c r="BV51" s="37"/>
      <c r="BW51" s="37"/>
      <c r="BX51" s="37"/>
      <c r="BY51" s="37"/>
      <c r="BZ51" s="37"/>
      <c r="CA51" s="33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3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3"/>
      <c r="DX51" s="37"/>
      <c r="DY51" s="37"/>
      <c r="DZ51" s="33"/>
      <c r="EA51" s="33"/>
      <c r="EB51" s="37"/>
      <c r="EC51" s="33"/>
      <c r="ED51" s="33"/>
      <c r="EE51" s="33"/>
      <c r="EF51" s="33"/>
      <c r="EG51" s="33"/>
      <c r="EH51" s="37"/>
      <c r="EI51" s="37"/>
      <c r="EJ51" s="37"/>
      <c r="EK51" s="37"/>
      <c r="EL51" s="37"/>
      <c r="EO51" s="37"/>
    </row>
    <row r="52" spans="1:145" ht="16.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3"/>
      <c r="BR52" s="37"/>
      <c r="BS52" s="37"/>
      <c r="BT52" s="37"/>
      <c r="BU52" s="37"/>
      <c r="BV52" s="37"/>
      <c r="BW52" s="37"/>
      <c r="BX52" s="37"/>
      <c r="BY52" s="37"/>
      <c r="BZ52" s="37"/>
      <c r="CA52" s="33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3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3"/>
      <c r="DX52" s="37"/>
      <c r="DY52" s="37"/>
      <c r="DZ52" s="33"/>
      <c r="EA52" s="33"/>
      <c r="EB52" s="37"/>
      <c r="EC52" s="33"/>
      <c r="ED52" s="33"/>
      <c r="EE52" s="33"/>
      <c r="EF52" s="33"/>
      <c r="EG52" s="33"/>
      <c r="EH52" s="37"/>
      <c r="EI52" s="37"/>
      <c r="EJ52" s="37"/>
      <c r="EK52" s="37"/>
      <c r="EL52" s="37"/>
      <c r="EO52" s="37"/>
    </row>
    <row r="53" spans="1:145" ht="16.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3"/>
      <c r="BR53" s="37"/>
      <c r="BS53" s="37"/>
      <c r="BT53" s="37"/>
      <c r="BU53" s="37"/>
      <c r="BV53" s="37"/>
      <c r="BW53" s="37"/>
      <c r="BX53" s="37"/>
      <c r="BY53" s="37"/>
      <c r="BZ53" s="37"/>
      <c r="CA53" s="33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3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3"/>
      <c r="DX53" s="37"/>
      <c r="DY53" s="37"/>
      <c r="DZ53" s="33"/>
      <c r="EA53" s="33"/>
      <c r="EB53" s="37"/>
      <c r="EC53" s="33"/>
      <c r="ED53" s="33"/>
      <c r="EE53" s="33"/>
      <c r="EF53" s="33"/>
      <c r="EG53" s="33"/>
      <c r="EH53" s="37"/>
      <c r="EI53" s="37"/>
      <c r="EJ53" s="37"/>
      <c r="EK53" s="37"/>
      <c r="EL53" s="37"/>
      <c r="EO53" s="37"/>
    </row>
    <row r="54" spans="1:145" ht="16.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3"/>
      <c r="BR54" s="37"/>
      <c r="BS54" s="37"/>
      <c r="BT54" s="37"/>
      <c r="BU54" s="37"/>
      <c r="BV54" s="37"/>
      <c r="BW54" s="37"/>
      <c r="BX54" s="37"/>
      <c r="BY54" s="37"/>
      <c r="BZ54" s="37"/>
      <c r="CA54" s="33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3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3"/>
      <c r="DX54" s="37"/>
      <c r="DY54" s="37"/>
      <c r="DZ54" s="33"/>
      <c r="EA54" s="33"/>
      <c r="EB54" s="37"/>
      <c r="EC54" s="33"/>
      <c r="ED54" s="33"/>
      <c r="EE54" s="33"/>
      <c r="EF54" s="33"/>
      <c r="EG54" s="33"/>
      <c r="EH54" s="37"/>
      <c r="EI54" s="37"/>
      <c r="EJ54" s="37"/>
      <c r="EK54" s="37"/>
      <c r="EL54" s="37"/>
      <c r="EO54" s="37"/>
    </row>
    <row r="55" spans="1:145" ht="16.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3"/>
      <c r="BR55" s="37"/>
      <c r="BS55" s="37"/>
      <c r="BT55" s="37"/>
      <c r="BU55" s="37"/>
      <c r="BV55" s="37"/>
      <c r="BW55" s="37"/>
      <c r="BX55" s="37"/>
      <c r="BY55" s="37"/>
      <c r="BZ55" s="37"/>
      <c r="CA55" s="33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3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3"/>
      <c r="DX55" s="37"/>
      <c r="DY55" s="37"/>
      <c r="DZ55" s="33"/>
      <c r="EA55" s="33"/>
      <c r="EB55" s="37"/>
      <c r="EC55" s="33"/>
      <c r="ED55" s="33"/>
      <c r="EE55" s="33"/>
      <c r="EF55" s="33"/>
      <c r="EG55" s="33"/>
      <c r="EH55" s="37"/>
      <c r="EI55" s="37"/>
      <c r="EJ55" s="37"/>
      <c r="EK55" s="37"/>
      <c r="EL55" s="37"/>
      <c r="EO55" s="37"/>
    </row>
    <row r="56" spans="1:145" ht="16.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3"/>
      <c r="BR56" s="37"/>
      <c r="BS56" s="37"/>
      <c r="BT56" s="37"/>
      <c r="BU56" s="37"/>
      <c r="BV56" s="37"/>
      <c r="BW56" s="37"/>
      <c r="BX56" s="37"/>
      <c r="BY56" s="37"/>
      <c r="BZ56" s="37"/>
      <c r="CA56" s="33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3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3"/>
      <c r="DX56" s="37"/>
      <c r="DY56" s="37"/>
      <c r="DZ56" s="33"/>
      <c r="EA56" s="33"/>
      <c r="EB56" s="37"/>
      <c r="EC56" s="33"/>
      <c r="ED56" s="33"/>
      <c r="EE56" s="33"/>
      <c r="EF56" s="33"/>
      <c r="EG56" s="33"/>
      <c r="EH56" s="37"/>
      <c r="EI56" s="37"/>
      <c r="EJ56" s="37"/>
      <c r="EK56" s="37"/>
      <c r="EL56" s="37"/>
      <c r="EO56" s="37"/>
    </row>
    <row r="57" spans="1:145" ht="16.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3"/>
      <c r="BR57" s="37"/>
      <c r="BS57" s="37"/>
      <c r="BT57" s="37"/>
      <c r="BU57" s="37"/>
      <c r="BV57" s="37"/>
      <c r="BW57" s="37"/>
      <c r="BX57" s="37"/>
      <c r="BY57" s="37"/>
      <c r="BZ57" s="37"/>
      <c r="CA57" s="33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3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3"/>
      <c r="DX57" s="37"/>
      <c r="DY57" s="37"/>
      <c r="DZ57" s="33"/>
      <c r="EA57" s="33"/>
      <c r="EB57" s="37"/>
      <c r="EC57" s="33"/>
      <c r="ED57" s="33"/>
      <c r="EE57" s="33"/>
      <c r="EF57" s="33"/>
      <c r="EG57" s="33"/>
      <c r="EH57" s="37"/>
      <c r="EI57" s="37"/>
      <c r="EJ57" s="37"/>
      <c r="EK57" s="37"/>
      <c r="EL57" s="37"/>
      <c r="EO57" s="37"/>
    </row>
    <row r="58" spans="1:145" ht="16.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3"/>
      <c r="BR58" s="37"/>
      <c r="BS58" s="37"/>
      <c r="BT58" s="37"/>
      <c r="BU58" s="37"/>
      <c r="BV58" s="37"/>
      <c r="BW58" s="37"/>
      <c r="BX58" s="37"/>
      <c r="BY58" s="37"/>
      <c r="BZ58" s="37"/>
      <c r="CA58" s="33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3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3"/>
      <c r="DX58" s="37"/>
      <c r="DY58" s="37"/>
      <c r="DZ58" s="33"/>
      <c r="EA58" s="33"/>
      <c r="EB58" s="37"/>
      <c r="EC58" s="33"/>
      <c r="ED58" s="33"/>
      <c r="EE58" s="33"/>
      <c r="EF58" s="33"/>
      <c r="EG58" s="33"/>
      <c r="EH58" s="37"/>
      <c r="EI58" s="37"/>
      <c r="EJ58" s="37"/>
      <c r="EK58" s="37"/>
      <c r="EL58" s="37"/>
      <c r="EO58" s="37"/>
    </row>
    <row r="59" spans="1:145" ht="16.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3"/>
      <c r="BR59" s="37"/>
      <c r="BS59" s="37"/>
      <c r="BT59" s="37"/>
      <c r="BU59" s="37"/>
      <c r="BV59" s="37"/>
      <c r="BW59" s="37"/>
      <c r="BX59" s="37"/>
      <c r="BY59" s="37"/>
      <c r="BZ59" s="37"/>
      <c r="CA59" s="33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3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3"/>
      <c r="DX59" s="37"/>
      <c r="DY59" s="37"/>
      <c r="DZ59" s="33"/>
      <c r="EA59" s="33"/>
      <c r="EB59" s="37"/>
      <c r="EC59" s="33"/>
      <c r="ED59" s="33"/>
      <c r="EE59" s="33"/>
      <c r="EF59" s="33"/>
      <c r="EG59" s="33"/>
      <c r="EH59" s="37"/>
      <c r="EI59" s="37"/>
      <c r="EJ59" s="37"/>
      <c r="EK59" s="37"/>
      <c r="EL59" s="37"/>
      <c r="EO59" s="37"/>
    </row>
    <row r="60" spans="1:145" ht="16.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3"/>
      <c r="BR60" s="37"/>
      <c r="BS60" s="37"/>
      <c r="BT60" s="37"/>
      <c r="BU60" s="37"/>
      <c r="BV60" s="37"/>
      <c r="BW60" s="37"/>
      <c r="BX60" s="37"/>
      <c r="BY60" s="37"/>
      <c r="BZ60" s="37"/>
      <c r="CA60" s="33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3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3"/>
      <c r="DX60" s="37"/>
      <c r="DY60" s="37"/>
      <c r="DZ60" s="33"/>
      <c r="EA60" s="33"/>
      <c r="EB60" s="37"/>
      <c r="EC60" s="33"/>
      <c r="ED60" s="33"/>
      <c r="EE60" s="33"/>
      <c r="EF60" s="33"/>
      <c r="EG60" s="33"/>
      <c r="EH60" s="37"/>
      <c r="EI60" s="37"/>
      <c r="EJ60" s="37"/>
      <c r="EK60" s="37"/>
      <c r="EL60" s="37"/>
      <c r="EO60" s="37"/>
    </row>
    <row r="61" spans="1:145" ht="16.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3"/>
      <c r="BR61" s="37"/>
      <c r="BS61" s="37"/>
      <c r="BT61" s="37"/>
      <c r="BU61" s="37"/>
      <c r="BV61" s="37"/>
      <c r="BW61" s="37"/>
      <c r="BX61" s="37"/>
      <c r="BY61" s="37"/>
      <c r="BZ61" s="37"/>
      <c r="CA61" s="33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3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3"/>
      <c r="DX61" s="37"/>
      <c r="DY61" s="37"/>
      <c r="DZ61" s="33"/>
      <c r="EA61" s="33"/>
      <c r="EB61" s="37"/>
      <c r="EC61" s="33"/>
      <c r="ED61" s="33"/>
      <c r="EE61" s="33"/>
      <c r="EF61" s="33"/>
      <c r="EG61" s="33"/>
      <c r="EH61" s="37"/>
      <c r="EI61" s="37"/>
      <c r="EJ61" s="37"/>
      <c r="EK61" s="37"/>
      <c r="EL61" s="37"/>
      <c r="EO61" s="37"/>
    </row>
    <row r="62" spans="1:145" ht="16.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3"/>
      <c r="BR62" s="37"/>
      <c r="BS62" s="37"/>
      <c r="BT62" s="37"/>
      <c r="BU62" s="37"/>
      <c r="BV62" s="37"/>
      <c r="BW62" s="37"/>
      <c r="BX62" s="37"/>
      <c r="BY62" s="37"/>
      <c r="BZ62" s="37"/>
      <c r="CA62" s="33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3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3"/>
      <c r="DX62" s="37"/>
      <c r="DY62" s="37"/>
      <c r="DZ62" s="33"/>
      <c r="EA62" s="33"/>
      <c r="EB62" s="37"/>
      <c r="EC62" s="33"/>
      <c r="ED62" s="33"/>
      <c r="EE62" s="33"/>
      <c r="EF62" s="33"/>
      <c r="EG62" s="33"/>
      <c r="EH62" s="37"/>
      <c r="EI62" s="37"/>
      <c r="EJ62" s="37"/>
      <c r="EK62" s="37"/>
      <c r="EL62" s="37"/>
      <c r="EO62" s="37"/>
    </row>
    <row r="63" spans="1:145" ht="16.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3"/>
      <c r="BR63" s="37"/>
      <c r="BS63" s="37"/>
      <c r="BT63" s="37"/>
      <c r="BU63" s="37"/>
      <c r="BV63" s="37"/>
      <c r="BW63" s="37"/>
      <c r="BX63" s="37"/>
      <c r="BY63" s="37"/>
      <c r="BZ63" s="37"/>
      <c r="CA63" s="33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3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3"/>
      <c r="DX63" s="37"/>
      <c r="DY63" s="37"/>
      <c r="DZ63" s="33"/>
      <c r="EA63" s="33"/>
      <c r="EB63" s="37"/>
      <c r="EC63" s="33"/>
      <c r="ED63" s="33"/>
      <c r="EE63" s="33"/>
      <c r="EF63" s="33"/>
      <c r="EG63" s="33"/>
      <c r="EH63" s="37"/>
      <c r="EI63" s="37"/>
      <c r="EJ63" s="37"/>
      <c r="EK63" s="37"/>
      <c r="EL63" s="37"/>
      <c r="EO63" s="37"/>
    </row>
    <row r="64" spans="1:145" ht="16.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3"/>
      <c r="BR64" s="37"/>
      <c r="BS64" s="37"/>
      <c r="BT64" s="37"/>
      <c r="BU64" s="37"/>
      <c r="BV64" s="37"/>
      <c r="BW64" s="37"/>
      <c r="BX64" s="37"/>
      <c r="BY64" s="37"/>
      <c r="BZ64" s="37"/>
      <c r="CA64" s="33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3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3"/>
      <c r="DX64" s="37"/>
      <c r="DY64" s="37"/>
      <c r="DZ64" s="33"/>
      <c r="EA64" s="33"/>
      <c r="EB64" s="37"/>
      <c r="EC64" s="33"/>
      <c r="ED64" s="33"/>
      <c r="EE64" s="33"/>
      <c r="EF64" s="33"/>
      <c r="EG64" s="33"/>
      <c r="EH64" s="37"/>
      <c r="EI64" s="37"/>
      <c r="EJ64" s="37"/>
      <c r="EK64" s="37"/>
      <c r="EL64" s="37"/>
      <c r="EO64" s="37"/>
    </row>
    <row r="65" spans="1:145" ht="16.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3"/>
      <c r="BR65" s="37"/>
      <c r="BS65" s="37"/>
      <c r="BT65" s="37"/>
      <c r="BU65" s="37"/>
      <c r="BV65" s="37"/>
      <c r="BW65" s="37"/>
      <c r="BX65" s="37"/>
      <c r="BY65" s="37"/>
      <c r="BZ65" s="37"/>
      <c r="CA65" s="33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3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3"/>
      <c r="DX65" s="37"/>
      <c r="DY65" s="37"/>
      <c r="DZ65" s="33"/>
      <c r="EA65" s="33"/>
      <c r="EB65" s="37"/>
      <c r="EC65" s="33"/>
      <c r="ED65" s="33"/>
      <c r="EE65" s="33"/>
      <c r="EF65" s="33"/>
      <c r="EG65" s="33"/>
      <c r="EH65" s="37"/>
      <c r="EI65" s="37"/>
      <c r="EJ65" s="37"/>
      <c r="EK65" s="37"/>
      <c r="EL65" s="37"/>
      <c r="EO65" s="37"/>
    </row>
    <row r="66" spans="1:145" ht="16.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3"/>
      <c r="BR66" s="37"/>
      <c r="BS66" s="37"/>
      <c r="BT66" s="37"/>
      <c r="BU66" s="37"/>
      <c r="BV66" s="37"/>
      <c r="BW66" s="37"/>
      <c r="BX66" s="37"/>
      <c r="BY66" s="37"/>
      <c r="BZ66" s="37"/>
      <c r="CA66" s="33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3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3"/>
      <c r="DX66" s="37"/>
      <c r="DY66" s="37"/>
      <c r="DZ66" s="33"/>
      <c r="EA66" s="33"/>
      <c r="EB66" s="37"/>
      <c r="EC66" s="33"/>
      <c r="ED66" s="33"/>
      <c r="EE66" s="33"/>
      <c r="EF66" s="33"/>
      <c r="EG66" s="33"/>
      <c r="EH66" s="37"/>
      <c r="EI66" s="37"/>
      <c r="EJ66" s="37"/>
      <c r="EK66" s="37"/>
      <c r="EL66" s="37"/>
      <c r="EO66" s="37"/>
    </row>
    <row r="67" spans="1:145" ht="16.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3"/>
      <c r="BR67" s="37"/>
      <c r="BS67" s="37"/>
      <c r="BT67" s="37"/>
      <c r="BU67" s="37"/>
      <c r="BV67" s="37"/>
      <c r="BW67" s="37"/>
      <c r="BX67" s="37"/>
      <c r="BY67" s="37"/>
      <c r="BZ67" s="37"/>
      <c r="CA67" s="33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3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3"/>
      <c r="DX67" s="37"/>
      <c r="DY67" s="37"/>
      <c r="DZ67" s="33"/>
      <c r="EA67" s="33"/>
      <c r="EB67" s="37"/>
      <c r="EC67" s="33"/>
      <c r="ED67" s="33"/>
      <c r="EE67" s="33"/>
      <c r="EF67" s="33"/>
      <c r="EG67" s="33"/>
      <c r="EH67" s="37"/>
      <c r="EI67" s="37"/>
      <c r="EJ67" s="37"/>
      <c r="EK67" s="37"/>
      <c r="EL67" s="37"/>
      <c r="EO67" s="37"/>
    </row>
    <row r="68" spans="1:145" ht="16.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3"/>
      <c r="BR68" s="37"/>
      <c r="BS68" s="37"/>
      <c r="BT68" s="37"/>
      <c r="BU68" s="37"/>
      <c r="BV68" s="37"/>
      <c r="BW68" s="37"/>
      <c r="BX68" s="37"/>
      <c r="BY68" s="37"/>
      <c r="BZ68" s="37"/>
      <c r="CA68" s="33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3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3"/>
      <c r="DX68" s="37"/>
      <c r="DY68" s="37"/>
      <c r="DZ68" s="33"/>
      <c r="EA68" s="33"/>
      <c r="EB68" s="37"/>
      <c r="EC68" s="33"/>
      <c r="ED68" s="33"/>
      <c r="EE68" s="33"/>
      <c r="EF68" s="33"/>
      <c r="EG68" s="33"/>
      <c r="EH68" s="37"/>
      <c r="EI68" s="37"/>
      <c r="EJ68" s="37"/>
      <c r="EK68" s="37"/>
      <c r="EL68" s="37"/>
      <c r="EO68" s="37"/>
    </row>
    <row r="69" spans="1:145" ht="16.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3"/>
      <c r="BR69" s="37"/>
      <c r="BS69" s="37"/>
      <c r="BT69" s="37"/>
      <c r="BU69" s="37"/>
      <c r="BV69" s="37"/>
      <c r="BW69" s="37"/>
      <c r="BX69" s="37"/>
      <c r="BY69" s="37"/>
      <c r="BZ69" s="37"/>
      <c r="CA69" s="33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3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3"/>
      <c r="DX69" s="37"/>
      <c r="DY69" s="37"/>
      <c r="DZ69" s="33"/>
      <c r="EA69" s="33"/>
      <c r="EB69" s="37"/>
      <c r="EC69" s="33"/>
      <c r="ED69" s="33"/>
      <c r="EE69" s="33"/>
      <c r="EF69" s="33"/>
      <c r="EG69" s="33"/>
      <c r="EH69" s="37"/>
      <c r="EI69" s="37"/>
      <c r="EJ69" s="37"/>
      <c r="EK69" s="37"/>
      <c r="EL69" s="37"/>
      <c r="EO69" s="37"/>
    </row>
    <row r="70" spans="1:145" ht="16.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3"/>
      <c r="BR70" s="37"/>
      <c r="BS70" s="37"/>
      <c r="BT70" s="37"/>
      <c r="BU70" s="37"/>
      <c r="BV70" s="37"/>
      <c r="BW70" s="37"/>
      <c r="BX70" s="37"/>
      <c r="BY70" s="37"/>
      <c r="BZ70" s="37"/>
      <c r="CA70" s="33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3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3"/>
      <c r="DX70" s="37"/>
      <c r="DY70" s="37"/>
      <c r="DZ70" s="33"/>
      <c r="EA70" s="33"/>
      <c r="EB70" s="37"/>
      <c r="EC70" s="33"/>
      <c r="ED70" s="33"/>
      <c r="EE70" s="33"/>
      <c r="EF70" s="33"/>
      <c r="EG70" s="33"/>
      <c r="EH70" s="37"/>
      <c r="EI70" s="37"/>
      <c r="EJ70" s="37"/>
      <c r="EK70" s="37"/>
      <c r="EL70" s="37"/>
      <c r="EO70" s="37"/>
    </row>
    <row r="71" spans="1:145" ht="16.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3"/>
      <c r="BR71" s="37"/>
      <c r="BS71" s="37"/>
      <c r="BT71" s="37"/>
      <c r="BU71" s="37"/>
      <c r="BV71" s="37"/>
      <c r="BW71" s="37"/>
      <c r="BX71" s="37"/>
      <c r="BY71" s="37"/>
      <c r="BZ71" s="37"/>
      <c r="CA71" s="33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3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3"/>
      <c r="DX71" s="37"/>
      <c r="DY71" s="37"/>
      <c r="DZ71" s="33"/>
      <c r="EA71" s="33"/>
      <c r="EB71" s="37"/>
      <c r="EC71" s="33"/>
      <c r="ED71" s="33"/>
      <c r="EE71" s="33"/>
      <c r="EF71" s="33"/>
      <c r="EG71" s="33"/>
      <c r="EH71" s="37"/>
      <c r="EI71" s="37"/>
      <c r="EJ71" s="37"/>
      <c r="EK71" s="37"/>
      <c r="EL71" s="37"/>
      <c r="EO71" s="37"/>
    </row>
    <row r="72" spans="1:145" ht="16.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3"/>
      <c r="BR72" s="37"/>
      <c r="BS72" s="37"/>
      <c r="BT72" s="37"/>
      <c r="BU72" s="37"/>
      <c r="BV72" s="37"/>
      <c r="BW72" s="37"/>
      <c r="BX72" s="37"/>
      <c r="BY72" s="37"/>
      <c r="BZ72" s="37"/>
      <c r="CA72" s="33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3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3"/>
      <c r="DX72" s="37"/>
      <c r="DY72" s="37"/>
      <c r="DZ72" s="33"/>
      <c r="EA72" s="33"/>
      <c r="EB72" s="37"/>
      <c r="EC72" s="33"/>
      <c r="ED72" s="33"/>
      <c r="EE72" s="33"/>
      <c r="EF72" s="33"/>
      <c r="EG72" s="33"/>
      <c r="EH72" s="37"/>
      <c r="EI72" s="37"/>
      <c r="EJ72" s="37"/>
      <c r="EK72" s="37"/>
      <c r="EL72" s="37"/>
      <c r="EO72" s="37"/>
    </row>
    <row r="73" spans="1:145" ht="16.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3"/>
      <c r="BR73" s="37"/>
      <c r="BS73" s="37"/>
      <c r="BT73" s="37"/>
      <c r="BU73" s="37"/>
      <c r="BV73" s="37"/>
      <c r="BW73" s="37"/>
      <c r="BX73" s="37"/>
      <c r="BY73" s="37"/>
      <c r="BZ73" s="37"/>
      <c r="CA73" s="33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3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3"/>
      <c r="DX73" s="37"/>
      <c r="DY73" s="37"/>
      <c r="DZ73" s="33"/>
      <c r="EA73" s="33"/>
      <c r="EB73" s="37"/>
      <c r="EC73" s="33"/>
      <c r="ED73" s="33"/>
      <c r="EE73" s="33"/>
      <c r="EF73" s="33"/>
      <c r="EG73" s="33"/>
      <c r="EH73" s="37"/>
      <c r="EI73" s="37"/>
      <c r="EJ73" s="37"/>
      <c r="EK73" s="37"/>
      <c r="EL73" s="37"/>
      <c r="EO73" s="37"/>
    </row>
    <row r="74" spans="1:145" ht="16.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3"/>
      <c r="BR74" s="37"/>
      <c r="BS74" s="37"/>
      <c r="BT74" s="37"/>
      <c r="BU74" s="37"/>
      <c r="BV74" s="37"/>
      <c r="BW74" s="37"/>
      <c r="BX74" s="37"/>
      <c r="BY74" s="37"/>
      <c r="BZ74" s="37"/>
      <c r="CA74" s="33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3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3"/>
      <c r="DX74" s="37"/>
      <c r="DY74" s="37"/>
      <c r="DZ74" s="33"/>
      <c r="EA74" s="33"/>
      <c r="EB74" s="37"/>
      <c r="EC74" s="33"/>
      <c r="ED74" s="33"/>
      <c r="EE74" s="33"/>
      <c r="EF74" s="33"/>
      <c r="EG74" s="33"/>
      <c r="EH74" s="37"/>
      <c r="EI74" s="37"/>
      <c r="EJ74" s="37"/>
      <c r="EK74" s="37"/>
      <c r="EL74" s="37"/>
      <c r="EO74" s="37"/>
    </row>
    <row r="75" spans="1:145" ht="16.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3"/>
      <c r="BR75" s="37"/>
      <c r="BS75" s="37"/>
      <c r="BT75" s="37"/>
      <c r="BU75" s="37"/>
      <c r="BV75" s="37"/>
      <c r="BW75" s="37"/>
      <c r="BX75" s="37"/>
      <c r="BY75" s="37"/>
      <c r="BZ75" s="37"/>
      <c r="CA75" s="33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3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3"/>
      <c r="DX75" s="37"/>
      <c r="DY75" s="37"/>
      <c r="DZ75" s="33"/>
      <c r="EA75" s="33"/>
      <c r="EB75" s="37"/>
      <c r="EC75" s="33"/>
      <c r="ED75" s="33"/>
      <c r="EE75" s="33"/>
      <c r="EF75" s="33"/>
      <c r="EG75" s="33"/>
      <c r="EH75" s="37"/>
      <c r="EI75" s="37"/>
      <c r="EJ75" s="37"/>
      <c r="EK75" s="37"/>
      <c r="EL75" s="37"/>
      <c r="EO75" s="37"/>
    </row>
    <row r="76" spans="1:145" ht="16.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3"/>
      <c r="BR76" s="37"/>
      <c r="BS76" s="37"/>
      <c r="BT76" s="37"/>
      <c r="BU76" s="37"/>
      <c r="BV76" s="37"/>
      <c r="BW76" s="37"/>
      <c r="BX76" s="37"/>
      <c r="BY76" s="37"/>
      <c r="BZ76" s="37"/>
      <c r="CA76" s="33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3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3"/>
      <c r="DX76" s="37"/>
      <c r="DY76" s="37"/>
      <c r="DZ76" s="33"/>
      <c r="EA76" s="33"/>
      <c r="EB76" s="37"/>
      <c r="EC76" s="33"/>
      <c r="ED76" s="33"/>
      <c r="EE76" s="33"/>
      <c r="EF76" s="33"/>
      <c r="EG76" s="33"/>
      <c r="EH76" s="37"/>
      <c r="EI76" s="37"/>
      <c r="EJ76" s="37"/>
      <c r="EK76" s="37"/>
      <c r="EL76" s="37"/>
      <c r="EO76" s="37"/>
    </row>
    <row r="77" spans="1:145" ht="16.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3"/>
      <c r="BR77" s="37"/>
      <c r="BS77" s="37"/>
      <c r="BT77" s="37"/>
      <c r="BU77" s="37"/>
      <c r="BV77" s="37"/>
      <c r="BW77" s="37"/>
      <c r="BX77" s="37"/>
      <c r="BY77" s="37"/>
      <c r="BZ77" s="37"/>
      <c r="CA77" s="33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3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3"/>
      <c r="DX77" s="37"/>
      <c r="DY77" s="37"/>
      <c r="DZ77" s="33"/>
      <c r="EA77" s="33"/>
      <c r="EB77" s="37"/>
      <c r="EC77" s="33"/>
      <c r="ED77" s="33"/>
      <c r="EE77" s="33"/>
      <c r="EF77" s="33"/>
      <c r="EG77" s="33"/>
      <c r="EH77" s="37"/>
      <c r="EI77" s="37"/>
      <c r="EJ77" s="37"/>
      <c r="EK77" s="37"/>
      <c r="EL77" s="37"/>
      <c r="EO77" s="37"/>
    </row>
    <row r="78" spans="1:145" ht="16.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3"/>
      <c r="BR78" s="37"/>
      <c r="BS78" s="37"/>
      <c r="BT78" s="37"/>
      <c r="BU78" s="37"/>
      <c r="BV78" s="37"/>
      <c r="BW78" s="37"/>
      <c r="BX78" s="37"/>
      <c r="BY78" s="37"/>
      <c r="BZ78" s="37"/>
      <c r="CA78" s="33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3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3"/>
      <c r="DX78" s="37"/>
      <c r="DY78" s="37"/>
      <c r="DZ78" s="33"/>
      <c r="EA78" s="33"/>
      <c r="EB78" s="37"/>
      <c r="EC78" s="33"/>
      <c r="ED78" s="33"/>
      <c r="EE78" s="33"/>
      <c r="EF78" s="33"/>
      <c r="EG78" s="33"/>
      <c r="EH78" s="37"/>
      <c r="EI78" s="37"/>
      <c r="EJ78" s="37"/>
      <c r="EK78" s="37"/>
      <c r="EL78" s="37"/>
      <c r="EO78" s="37"/>
    </row>
    <row r="79" spans="1:145" ht="16.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3"/>
      <c r="BR79" s="37"/>
      <c r="BS79" s="37"/>
      <c r="BT79" s="37"/>
      <c r="BU79" s="37"/>
      <c r="BV79" s="37"/>
      <c r="BW79" s="37"/>
      <c r="BX79" s="37"/>
      <c r="BY79" s="37"/>
      <c r="BZ79" s="37"/>
      <c r="CA79" s="33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3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3"/>
      <c r="DX79" s="37"/>
      <c r="DY79" s="37"/>
      <c r="DZ79" s="33"/>
      <c r="EA79" s="33"/>
      <c r="EB79" s="37"/>
      <c r="EC79" s="33"/>
      <c r="ED79" s="33"/>
      <c r="EE79" s="33"/>
      <c r="EF79" s="33"/>
      <c r="EG79" s="33"/>
      <c r="EH79" s="37"/>
      <c r="EI79" s="37"/>
      <c r="EJ79" s="37"/>
      <c r="EK79" s="37"/>
      <c r="EL79" s="37"/>
      <c r="EO79" s="37"/>
    </row>
    <row r="80" spans="1:145" ht="16.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3"/>
      <c r="BR80" s="37"/>
      <c r="BS80" s="37"/>
      <c r="BT80" s="37"/>
      <c r="BU80" s="37"/>
      <c r="BV80" s="37"/>
      <c r="BW80" s="37"/>
      <c r="BX80" s="37"/>
      <c r="BY80" s="37"/>
      <c r="BZ80" s="37"/>
      <c r="CA80" s="33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3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3"/>
      <c r="DX80" s="37"/>
      <c r="DY80" s="37"/>
      <c r="DZ80" s="33"/>
      <c r="EA80" s="33"/>
      <c r="EB80" s="37"/>
      <c r="EC80" s="33"/>
      <c r="ED80" s="33"/>
      <c r="EE80" s="33"/>
      <c r="EF80" s="33"/>
      <c r="EG80" s="33"/>
      <c r="EH80" s="37"/>
      <c r="EI80" s="37"/>
      <c r="EJ80" s="37"/>
      <c r="EK80" s="37"/>
      <c r="EL80" s="37"/>
      <c r="EO80" s="37"/>
    </row>
    <row r="81" spans="1:145" ht="16.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3"/>
      <c r="BR81" s="37"/>
      <c r="BS81" s="37"/>
      <c r="BT81" s="37"/>
      <c r="BU81" s="37"/>
      <c r="BV81" s="37"/>
      <c r="BW81" s="37"/>
      <c r="BX81" s="37"/>
      <c r="BY81" s="37"/>
      <c r="BZ81" s="37"/>
      <c r="CA81" s="33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3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3"/>
      <c r="DX81" s="37"/>
      <c r="DY81" s="37"/>
      <c r="DZ81" s="33"/>
      <c r="EA81" s="33"/>
      <c r="EB81" s="37"/>
      <c r="EC81" s="33"/>
      <c r="ED81" s="33"/>
      <c r="EE81" s="33"/>
      <c r="EF81" s="33"/>
      <c r="EG81" s="33"/>
      <c r="EH81" s="37"/>
      <c r="EI81" s="37"/>
      <c r="EJ81" s="37"/>
      <c r="EK81" s="37"/>
      <c r="EL81" s="37"/>
      <c r="EO81" s="37"/>
    </row>
    <row r="82" spans="1:145" ht="16.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3"/>
      <c r="BR82" s="37"/>
      <c r="BS82" s="37"/>
      <c r="BT82" s="37"/>
      <c r="BU82" s="37"/>
      <c r="BV82" s="37"/>
      <c r="BW82" s="37"/>
      <c r="BX82" s="37"/>
      <c r="BY82" s="37"/>
      <c r="BZ82" s="37"/>
      <c r="CA82" s="33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3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3"/>
      <c r="DX82" s="37"/>
      <c r="DY82" s="37"/>
      <c r="DZ82" s="33"/>
      <c r="EA82" s="33"/>
      <c r="EB82" s="37"/>
      <c r="EC82" s="33"/>
      <c r="ED82" s="33"/>
      <c r="EE82" s="33"/>
      <c r="EF82" s="33"/>
      <c r="EG82" s="33"/>
      <c r="EH82" s="37"/>
      <c r="EI82" s="37"/>
      <c r="EJ82" s="37"/>
      <c r="EK82" s="37"/>
      <c r="EL82" s="37"/>
      <c r="EO82" s="37"/>
    </row>
    <row r="83" spans="1:145" ht="16.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3"/>
      <c r="BR83" s="37"/>
      <c r="BS83" s="37"/>
      <c r="BT83" s="37"/>
      <c r="BU83" s="37"/>
      <c r="BV83" s="37"/>
      <c r="BW83" s="37"/>
      <c r="BX83" s="37"/>
      <c r="BY83" s="37"/>
      <c r="BZ83" s="37"/>
      <c r="CA83" s="33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3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3"/>
      <c r="DX83" s="37"/>
      <c r="DY83" s="37"/>
      <c r="DZ83" s="33"/>
      <c r="EA83" s="33"/>
      <c r="EB83" s="37"/>
      <c r="EC83" s="33"/>
      <c r="ED83" s="33"/>
      <c r="EE83" s="33"/>
      <c r="EF83" s="33"/>
      <c r="EG83" s="33"/>
      <c r="EH83" s="37"/>
      <c r="EI83" s="37"/>
      <c r="EJ83" s="37"/>
      <c r="EK83" s="37"/>
      <c r="EL83" s="37"/>
      <c r="EO83" s="37"/>
    </row>
    <row r="84" spans="1:145" ht="16.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3"/>
      <c r="BR84" s="37"/>
      <c r="BS84" s="37"/>
      <c r="BT84" s="37"/>
      <c r="BU84" s="37"/>
      <c r="BV84" s="37"/>
      <c r="BW84" s="37"/>
      <c r="BX84" s="37"/>
      <c r="BY84" s="37"/>
      <c r="BZ84" s="37"/>
      <c r="CA84" s="33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3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3"/>
      <c r="DX84" s="37"/>
      <c r="DY84" s="37"/>
      <c r="DZ84" s="33"/>
      <c r="EA84" s="33"/>
      <c r="EB84" s="37"/>
      <c r="EC84" s="33"/>
      <c r="ED84" s="33"/>
      <c r="EE84" s="33"/>
      <c r="EF84" s="33"/>
      <c r="EG84" s="33"/>
      <c r="EH84" s="37"/>
      <c r="EI84" s="37"/>
      <c r="EJ84" s="37"/>
      <c r="EK84" s="37"/>
      <c r="EL84" s="37"/>
      <c r="EO84" s="37"/>
    </row>
    <row r="85" spans="1:145" ht="16.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3"/>
      <c r="BR85" s="37"/>
      <c r="BS85" s="37"/>
      <c r="BT85" s="37"/>
      <c r="BU85" s="37"/>
      <c r="BV85" s="37"/>
      <c r="BW85" s="37"/>
      <c r="BX85" s="37"/>
      <c r="BY85" s="37"/>
      <c r="BZ85" s="37"/>
      <c r="CA85" s="33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3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3"/>
      <c r="DX85" s="37"/>
      <c r="DY85" s="37"/>
      <c r="DZ85" s="33"/>
      <c r="EA85" s="33"/>
      <c r="EB85" s="37"/>
      <c r="EC85" s="33"/>
      <c r="ED85" s="33"/>
      <c r="EE85" s="33"/>
      <c r="EF85" s="33"/>
      <c r="EG85" s="33"/>
      <c r="EH85" s="37"/>
      <c r="EI85" s="37"/>
      <c r="EJ85" s="37"/>
      <c r="EK85" s="37"/>
      <c r="EL85" s="37"/>
      <c r="EO85" s="37"/>
    </row>
    <row r="86" spans="1:145" ht="16.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3"/>
      <c r="BR86" s="37"/>
      <c r="BS86" s="37"/>
      <c r="BT86" s="37"/>
      <c r="BU86" s="37"/>
      <c r="BV86" s="37"/>
      <c r="BW86" s="37"/>
      <c r="BX86" s="37"/>
      <c r="BY86" s="37"/>
      <c r="BZ86" s="37"/>
      <c r="CA86" s="33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3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3"/>
      <c r="DX86" s="37"/>
      <c r="DY86" s="37"/>
      <c r="DZ86" s="33"/>
      <c r="EA86" s="33"/>
      <c r="EB86" s="37"/>
      <c r="EC86" s="33"/>
      <c r="ED86" s="33"/>
      <c r="EE86" s="33"/>
      <c r="EF86" s="33"/>
      <c r="EG86" s="33"/>
      <c r="EH86" s="37"/>
      <c r="EI86" s="37"/>
      <c r="EJ86" s="37"/>
      <c r="EK86" s="37"/>
      <c r="EL86" s="37"/>
      <c r="EO86" s="37"/>
    </row>
    <row r="87" spans="1:145" ht="16.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3"/>
      <c r="BR87" s="37"/>
      <c r="BS87" s="37"/>
      <c r="BT87" s="37"/>
      <c r="BU87" s="37"/>
      <c r="BV87" s="37"/>
      <c r="BW87" s="37"/>
      <c r="BX87" s="37"/>
      <c r="BY87" s="37"/>
      <c r="BZ87" s="37"/>
      <c r="CA87" s="33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3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3"/>
      <c r="DX87" s="37"/>
      <c r="DY87" s="37"/>
      <c r="DZ87" s="33"/>
      <c r="EA87" s="33"/>
      <c r="EB87" s="37"/>
      <c r="EC87" s="33"/>
      <c r="ED87" s="33"/>
      <c r="EE87" s="33"/>
      <c r="EF87" s="33"/>
      <c r="EG87" s="33"/>
      <c r="EH87" s="37"/>
      <c r="EI87" s="37"/>
      <c r="EJ87" s="37"/>
      <c r="EK87" s="37"/>
      <c r="EL87" s="37"/>
      <c r="EO87" s="37"/>
    </row>
    <row r="88" spans="1:145" ht="16.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3"/>
      <c r="BR88" s="37"/>
      <c r="BS88" s="37"/>
      <c r="BT88" s="37"/>
      <c r="BU88" s="37"/>
      <c r="BV88" s="37"/>
      <c r="BW88" s="37"/>
      <c r="BX88" s="37"/>
      <c r="BY88" s="37"/>
      <c r="BZ88" s="37"/>
      <c r="CA88" s="33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3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3"/>
      <c r="DX88" s="37"/>
      <c r="DY88" s="37"/>
      <c r="DZ88" s="33"/>
      <c r="EA88" s="33"/>
      <c r="EB88" s="37"/>
      <c r="EC88" s="33"/>
      <c r="ED88" s="33"/>
      <c r="EE88" s="33"/>
      <c r="EF88" s="33"/>
      <c r="EG88" s="33"/>
      <c r="EH88" s="37"/>
      <c r="EI88" s="37"/>
      <c r="EJ88" s="37"/>
      <c r="EK88" s="37"/>
      <c r="EL88" s="37"/>
      <c r="EO88" s="37"/>
    </row>
    <row r="89" spans="1:145" ht="16.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3"/>
      <c r="BR89" s="37"/>
      <c r="BS89" s="37"/>
      <c r="BT89" s="37"/>
      <c r="BU89" s="37"/>
      <c r="BV89" s="37"/>
      <c r="BW89" s="37"/>
      <c r="BX89" s="37"/>
      <c r="BY89" s="37"/>
      <c r="BZ89" s="37"/>
      <c r="CA89" s="33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3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3"/>
      <c r="DX89" s="37"/>
      <c r="DY89" s="37"/>
      <c r="DZ89" s="33"/>
      <c r="EA89" s="33"/>
      <c r="EB89" s="37"/>
      <c r="EC89" s="33"/>
      <c r="ED89" s="33"/>
      <c r="EE89" s="33"/>
      <c r="EF89" s="33"/>
      <c r="EG89" s="33"/>
      <c r="EH89" s="37"/>
      <c r="EI89" s="37"/>
      <c r="EJ89" s="37"/>
      <c r="EK89" s="37"/>
      <c r="EL89" s="37"/>
      <c r="EO89" s="37"/>
    </row>
    <row r="90" spans="1:145" ht="16.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3"/>
      <c r="BR90" s="37"/>
      <c r="BS90" s="37"/>
      <c r="BT90" s="37"/>
      <c r="BU90" s="37"/>
      <c r="BV90" s="37"/>
      <c r="BW90" s="37"/>
      <c r="BX90" s="37"/>
      <c r="BY90" s="37"/>
      <c r="BZ90" s="37"/>
      <c r="CA90" s="33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3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3"/>
      <c r="DX90" s="37"/>
      <c r="DY90" s="37"/>
      <c r="DZ90" s="33"/>
      <c r="EA90" s="33"/>
      <c r="EB90" s="37"/>
      <c r="EC90" s="33"/>
      <c r="ED90" s="33"/>
      <c r="EE90" s="33"/>
      <c r="EF90" s="33"/>
      <c r="EG90" s="33"/>
      <c r="EH90" s="37"/>
      <c r="EI90" s="37"/>
      <c r="EJ90" s="37"/>
      <c r="EK90" s="37"/>
      <c r="EL90" s="37"/>
      <c r="EO90" s="37"/>
    </row>
    <row r="91" spans="1:145" ht="16.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3"/>
      <c r="BR91" s="37"/>
      <c r="BS91" s="37"/>
      <c r="BT91" s="37"/>
      <c r="BU91" s="37"/>
      <c r="BV91" s="37"/>
      <c r="BW91" s="37"/>
      <c r="BX91" s="37"/>
      <c r="BY91" s="37"/>
      <c r="BZ91" s="37"/>
      <c r="CA91" s="33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3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3"/>
      <c r="DX91" s="37"/>
      <c r="DY91" s="37"/>
      <c r="DZ91" s="33"/>
      <c r="EA91" s="33"/>
      <c r="EB91" s="37"/>
      <c r="EC91" s="33"/>
      <c r="ED91" s="33"/>
      <c r="EE91" s="33"/>
      <c r="EF91" s="33"/>
      <c r="EG91" s="33"/>
      <c r="EH91" s="37"/>
      <c r="EI91" s="37"/>
      <c r="EJ91" s="37"/>
      <c r="EK91" s="37"/>
      <c r="EL91" s="37"/>
      <c r="EO91" s="37"/>
    </row>
    <row r="92" spans="1:145" ht="16.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3"/>
      <c r="BR92" s="37"/>
      <c r="BS92" s="37"/>
      <c r="BT92" s="37"/>
      <c r="BU92" s="37"/>
      <c r="BV92" s="37"/>
      <c r="BW92" s="37"/>
      <c r="BX92" s="37"/>
      <c r="BY92" s="37"/>
      <c r="BZ92" s="37"/>
      <c r="CA92" s="33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3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3"/>
      <c r="DX92" s="37"/>
      <c r="DY92" s="37"/>
      <c r="DZ92" s="33"/>
      <c r="EA92" s="33"/>
      <c r="EB92" s="37"/>
      <c r="EC92" s="33"/>
      <c r="ED92" s="33"/>
      <c r="EE92" s="33"/>
      <c r="EF92" s="33"/>
      <c r="EG92" s="33"/>
      <c r="EH92" s="37"/>
      <c r="EI92" s="37"/>
      <c r="EJ92" s="37"/>
      <c r="EK92" s="37"/>
      <c r="EL92" s="37"/>
      <c r="EO92" s="37"/>
    </row>
    <row r="93" spans="1:145" ht="16.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3"/>
      <c r="BR93" s="37"/>
      <c r="BS93" s="37"/>
      <c r="BT93" s="37"/>
      <c r="BU93" s="37"/>
      <c r="BV93" s="37"/>
      <c r="BW93" s="37"/>
      <c r="BX93" s="37"/>
      <c r="BY93" s="37"/>
      <c r="BZ93" s="37"/>
      <c r="CA93" s="33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3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3"/>
      <c r="DX93" s="37"/>
      <c r="DY93" s="37"/>
      <c r="DZ93" s="33"/>
      <c r="EA93" s="33"/>
      <c r="EB93" s="37"/>
      <c r="EC93" s="33"/>
      <c r="ED93" s="33"/>
      <c r="EE93" s="33"/>
      <c r="EF93" s="33"/>
      <c r="EG93" s="33"/>
      <c r="EH93" s="37"/>
      <c r="EI93" s="37"/>
      <c r="EJ93" s="37"/>
      <c r="EK93" s="37"/>
      <c r="EL93" s="37"/>
      <c r="EO93" s="37"/>
    </row>
    <row r="94" spans="1:145" ht="16.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3"/>
      <c r="BR94" s="37"/>
      <c r="BS94" s="37"/>
      <c r="BT94" s="37"/>
      <c r="BU94" s="37"/>
      <c r="BV94" s="37"/>
      <c r="BW94" s="37"/>
      <c r="BX94" s="37"/>
      <c r="BY94" s="37"/>
      <c r="BZ94" s="37"/>
      <c r="CA94" s="33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3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3"/>
      <c r="DX94" s="37"/>
      <c r="DY94" s="37"/>
      <c r="DZ94" s="33"/>
      <c r="EA94" s="33"/>
      <c r="EB94" s="37"/>
      <c r="EC94" s="33"/>
      <c r="ED94" s="33"/>
      <c r="EE94" s="33"/>
      <c r="EF94" s="33"/>
      <c r="EG94" s="33"/>
      <c r="EH94" s="37"/>
      <c r="EI94" s="37"/>
      <c r="EJ94" s="37"/>
      <c r="EK94" s="37"/>
      <c r="EL94" s="37"/>
      <c r="EO94" s="37"/>
    </row>
    <row r="95" spans="1:145" ht="16.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3"/>
      <c r="BR95" s="37"/>
      <c r="BS95" s="37"/>
      <c r="BT95" s="37"/>
      <c r="BU95" s="37"/>
      <c r="BV95" s="37"/>
      <c r="BW95" s="37"/>
      <c r="BX95" s="37"/>
      <c r="BY95" s="37"/>
      <c r="BZ95" s="37"/>
      <c r="CA95" s="33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3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3"/>
      <c r="DX95" s="37"/>
      <c r="DY95" s="37"/>
      <c r="DZ95" s="33"/>
      <c r="EA95" s="33"/>
      <c r="EB95" s="37"/>
      <c r="EC95" s="33"/>
      <c r="ED95" s="33"/>
      <c r="EE95" s="33"/>
      <c r="EF95" s="33"/>
      <c r="EG95" s="33"/>
      <c r="EH95" s="37"/>
      <c r="EI95" s="37"/>
      <c r="EJ95" s="37"/>
      <c r="EK95" s="37"/>
      <c r="EL95" s="37"/>
      <c r="EO95" s="37"/>
    </row>
    <row r="96" spans="1:145" ht="16.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3"/>
      <c r="BR96" s="37"/>
      <c r="BS96" s="37"/>
      <c r="BT96" s="37"/>
      <c r="BU96" s="37"/>
      <c r="BV96" s="37"/>
      <c r="BW96" s="37"/>
      <c r="BX96" s="37"/>
      <c r="BY96" s="37"/>
      <c r="BZ96" s="37"/>
      <c r="CA96" s="33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3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3"/>
      <c r="DX96" s="37"/>
      <c r="DY96" s="37"/>
      <c r="DZ96" s="33"/>
      <c r="EA96" s="33"/>
      <c r="EB96" s="37"/>
      <c r="EC96" s="33"/>
      <c r="ED96" s="33"/>
      <c r="EE96" s="33"/>
      <c r="EF96" s="33"/>
      <c r="EG96" s="33"/>
      <c r="EH96" s="37"/>
      <c r="EI96" s="37"/>
      <c r="EJ96" s="37"/>
      <c r="EK96" s="37"/>
      <c r="EL96" s="37"/>
      <c r="EO96" s="37"/>
    </row>
    <row r="97" spans="1:145" ht="16.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3"/>
      <c r="BR97" s="37"/>
      <c r="BS97" s="37"/>
      <c r="BT97" s="37"/>
      <c r="BU97" s="37"/>
      <c r="BV97" s="37"/>
      <c r="BW97" s="37"/>
      <c r="BX97" s="37"/>
      <c r="BY97" s="37"/>
      <c r="BZ97" s="37"/>
      <c r="CA97" s="33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3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3"/>
      <c r="DX97" s="37"/>
      <c r="DY97" s="37"/>
      <c r="DZ97" s="33"/>
      <c r="EA97" s="33"/>
      <c r="EB97" s="37"/>
      <c r="EC97" s="33"/>
      <c r="ED97" s="33"/>
      <c r="EE97" s="33"/>
      <c r="EF97" s="33"/>
      <c r="EG97" s="33"/>
      <c r="EH97" s="37"/>
      <c r="EI97" s="37"/>
      <c r="EJ97" s="37"/>
      <c r="EK97" s="37"/>
      <c r="EL97" s="37"/>
      <c r="EO97" s="37"/>
    </row>
    <row r="98" spans="1:145" ht="16.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3"/>
      <c r="BR98" s="37"/>
      <c r="BS98" s="37"/>
      <c r="BT98" s="37"/>
      <c r="BU98" s="37"/>
      <c r="BV98" s="37"/>
      <c r="BW98" s="37"/>
      <c r="BX98" s="37"/>
      <c r="BY98" s="37"/>
      <c r="BZ98" s="37"/>
      <c r="CA98" s="33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3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3"/>
      <c r="DX98" s="37"/>
      <c r="DY98" s="37"/>
      <c r="DZ98" s="33"/>
      <c r="EA98" s="33"/>
      <c r="EB98" s="37"/>
      <c r="EC98" s="33"/>
      <c r="ED98" s="33"/>
      <c r="EE98" s="33"/>
      <c r="EF98" s="33"/>
      <c r="EG98" s="33"/>
      <c r="EH98" s="37"/>
      <c r="EI98" s="37"/>
      <c r="EJ98" s="37"/>
      <c r="EK98" s="37"/>
      <c r="EL98" s="37"/>
      <c r="EO98" s="37"/>
    </row>
    <row r="99" spans="1:145" ht="16.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3"/>
      <c r="BR99" s="37"/>
      <c r="BS99" s="37"/>
      <c r="BT99" s="37"/>
      <c r="BU99" s="37"/>
      <c r="BV99" s="37"/>
      <c r="BW99" s="37"/>
      <c r="BX99" s="37"/>
      <c r="BY99" s="37"/>
      <c r="BZ99" s="37"/>
      <c r="CA99" s="33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3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3"/>
      <c r="DX99" s="37"/>
      <c r="DY99" s="37"/>
      <c r="DZ99" s="33"/>
      <c r="EA99" s="33"/>
      <c r="EB99" s="37"/>
      <c r="EC99" s="33"/>
      <c r="ED99" s="33"/>
      <c r="EE99" s="33"/>
      <c r="EF99" s="33"/>
      <c r="EG99" s="33"/>
      <c r="EH99" s="37"/>
      <c r="EI99" s="37"/>
      <c r="EJ99" s="37"/>
      <c r="EK99" s="37"/>
      <c r="EL99" s="37"/>
      <c r="EO99" s="37"/>
    </row>
    <row r="100" spans="1:145" ht="16.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3"/>
      <c r="BR100" s="37"/>
      <c r="BS100" s="37"/>
      <c r="BT100" s="37"/>
      <c r="BU100" s="37"/>
      <c r="BV100" s="37"/>
      <c r="BW100" s="37"/>
      <c r="BX100" s="37"/>
      <c r="BY100" s="37"/>
      <c r="BZ100" s="37"/>
      <c r="CA100" s="33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3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3"/>
      <c r="DX100" s="37"/>
      <c r="DY100" s="37"/>
      <c r="DZ100" s="33"/>
      <c r="EA100" s="33"/>
      <c r="EB100" s="37"/>
      <c r="EC100" s="33"/>
      <c r="ED100" s="33"/>
      <c r="EE100" s="33"/>
      <c r="EF100" s="33"/>
      <c r="EG100" s="33"/>
      <c r="EH100" s="37"/>
      <c r="EI100" s="37"/>
      <c r="EJ100" s="37"/>
      <c r="EK100" s="37"/>
      <c r="EL100" s="37"/>
      <c r="EO100" s="37"/>
    </row>
    <row r="101" spans="1:145" ht="16.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3"/>
      <c r="BR101" s="37"/>
      <c r="BS101" s="37"/>
      <c r="BT101" s="37"/>
      <c r="BU101" s="37"/>
      <c r="BV101" s="37"/>
      <c r="BW101" s="37"/>
      <c r="BX101" s="37"/>
      <c r="BY101" s="37"/>
      <c r="BZ101" s="37"/>
      <c r="CA101" s="33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3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3"/>
      <c r="DX101" s="37"/>
      <c r="DY101" s="37"/>
      <c r="DZ101" s="33"/>
      <c r="EA101" s="33"/>
      <c r="EB101" s="37"/>
      <c r="EC101" s="33"/>
      <c r="ED101" s="33"/>
      <c r="EE101" s="33"/>
      <c r="EF101" s="33"/>
      <c r="EG101" s="33"/>
      <c r="EH101" s="37"/>
      <c r="EI101" s="37"/>
      <c r="EJ101" s="37"/>
      <c r="EK101" s="37"/>
      <c r="EL101" s="37"/>
      <c r="EO101" s="37"/>
    </row>
    <row r="102" spans="1:145" ht="16.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3"/>
      <c r="BR102" s="37"/>
      <c r="BS102" s="37"/>
      <c r="BT102" s="37"/>
      <c r="BU102" s="37"/>
      <c r="BV102" s="37"/>
      <c r="BW102" s="37"/>
      <c r="BX102" s="37"/>
      <c r="BY102" s="37"/>
      <c r="BZ102" s="37"/>
      <c r="CA102" s="33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3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3"/>
      <c r="DX102" s="37"/>
      <c r="DY102" s="37"/>
      <c r="DZ102" s="33"/>
      <c r="EA102" s="33"/>
      <c r="EB102" s="37"/>
      <c r="EC102" s="33"/>
      <c r="ED102" s="33"/>
      <c r="EE102" s="33"/>
      <c r="EF102" s="33"/>
      <c r="EG102" s="33"/>
      <c r="EH102" s="37"/>
      <c r="EI102" s="37"/>
      <c r="EJ102" s="37"/>
      <c r="EK102" s="37"/>
      <c r="EL102" s="37"/>
      <c r="EO102" s="37"/>
    </row>
    <row r="103" spans="1:145" ht="16.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3"/>
      <c r="BR103" s="37"/>
      <c r="BS103" s="37"/>
      <c r="BT103" s="37"/>
      <c r="BU103" s="37"/>
      <c r="BV103" s="37"/>
      <c r="BW103" s="37"/>
      <c r="BX103" s="37"/>
      <c r="BY103" s="37"/>
      <c r="BZ103" s="37"/>
      <c r="CA103" s="33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3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3"/>
      <c r="DX103" s="37"/>
      <c r="DY103" s="37"/>
      <c r="DZ103" s="33"/>
      <c r="EA103" s="33"/>
      <c r="EB103" s="37"/>
      <c r="EC103" s="33"/>
      <c r="ED103" s="33"/>
      <c r="EE103" s="33"/>
      <c r="EF103" s="33"/>
      <c r="EG103" s="33"/>
      <c r="EH103" s="37"/>
      <c r="EI103" s="37"/>
      <c r="EJ103" s="37"/>
      <c r="EK103" s="37"/>
      <c r="EL103" s="37"/>
      <c r="EO103" s="37"/>
    </row>
    <row r="104" spans="1:145" ht="16.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3"/>
      <c r="BR104" s="37"/>
      <c r="BS104" s="37"/>
      <c r="BT104" s="37"/>
      <c r="BU104" s="37"/>
      <c r="BV104" s="37"/>
      <c r="BW104" s="37"/>
      <c r="BX104" s="37"/>
      <c r="BY104" s="37"/>
      <c r="BZ104" s="37"/>
      <c r="CA104" s="33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3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3"/>
      <c r="DX104" s="37"/>
      <c r="DY104" s="37"/>
      <c r="DZ104" s="33"/>
      <c r="EA104" s="33"/>
      <c r="EB104" s="37"/>
      <c r="EC104" s="33"/>
      <c r="ED104" s="33"/>
      <c r="EE104" s="33"/>
      <c r="EF104" s="33"/>
      <c r="EG104" s="33"/>
      <c r="EH104" s="37"/>
      <c r="EI104" s="37"/>
      <c r="EJ104" s="37"/>
      <c r="EK104" s="37"/>
      <c r="EL104" s="37"/>
      <c r="EO104" s="37"/>
    </row>
    <row r="105" spans="1:145" ht="16.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3"/>
      <c r="BR105" s="37"/>
      <c r="BS105" s="37"/>
      <c r="BT105" s="37"/>
      <c r="BU105" s="37"/>
      <c r="BV105" s="37"/>
      <c r="BW105" s="37"/>
      <c r="BX105" s="37"/>
      <c r="BY105" s="37"/>
      <c r="BZ105" s="37"/>
      <c r="CA105" s="33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3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3"/>
      <c r="DX105" s="37"/>
      <c r="DY105" s="37"/>
      <c r="DZ105" s="33"/>
      <c r="EA105" s="33"/>
      <c r="EB105" s="37"/>
      <c r="EC105" s="33"/>
      <c r="ED105" s="33"/>
      <c r="EE105" s="33"/>
      <c r="EF105" s="33"/>
      <c r="EG105" s="33"/>
      <c r="EH105" s="37"/>
      <c r="EI105" s="37"/>
      <c r="EJ105" s="37"/>
      <c r="EK105" s="37"/>
      <c r="EL105" s="37"/>
      <c r="EO105" s="37"/>
    </row>
    <row r="106" spans="1:145" ht="16.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3"/>
      <c r="BR106" s="37"/>
      <c r="BS106" s="37"/>
      <c r="BT106" s="37"/>
      <c r="BU106" s="37"/>
      <c r="BV106" s="37"/>
      <c r="BW106" s="37"/>
      <c r="BX106" s="37"/>
      <c r="BY106" s="37"/>
      <c r="BZ106" s="37"/>
      <c r="CA106" s="33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3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3"/>
      <c r="DX106" s="37"/>
      <c r="DY106" s="37"/>
      <c r="DZ106" s="33"/>
      <c r="EA106" s="33"/>
      <c r="EB106" s="37"/>
      <c r="EC106" s="33"/>
      <c r="ED106" s="33"/>
      <c r="EE106" s="33"/>
      <c r="EF106" s="33"/>
      <c r="EG106" s="33"/>
      <c r="EH106" s="37"/>
      <c r="EI106" s="37"/>
      <c r="EJ106" s="37"/>
      <c r="EK106" s="37"/>
      <c r="EL106" s="37"/>
      <c r="EO106" s="37"/>
    </row>
    <row r="107" spans="1:145" ht="16.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3"/>
      <c r="BR107" s="37"/>
      <c r="BS107" s="37"/>
      <c r="BT107" s="37"/>
      <c r="BU107" s="37"/>
      <c r="BV107" s="37"/>
      <c r="BW107" s="37"/>
      <c r="BX107" s="37"/>
      <c r="BY107" s="37"/>
      <c r="BZ107" s="37"/>
      <c r="CA107" s="33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3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3"/>
      <c r="DX107" s="37"/>
      <c r="DY107" s="37"/>
      <c r="DZ107" s="33"/>
      <c r="EA107" s="33"/>
      <c r="EB107" s="37"/>
      <c r="EC107" s="33"/>
      <c r="ED107" s="33"/>
      <c r="EE107" s="33"/>
      <c r="EF107" s="33"/>
      <c r="EG107" s="33"/>
      <c r="EH107" s="37"/>
      <c r="EI107" s="37"/>
      <c r="EJ107" s="37"/>
      <c r="EK107" s="37"/>
      <c r="EL107" s="37"/>
      <c r="EO107" s="37"/>
    </row>
    <row r="108" spans="1:145" ht="16.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3"/>
      <c r="BR108" s="37"/>
      <c r="BS108" s="37"/>
      <c r="BT108" s="37"/>
      <c r="BU108" s="37"/>
      <c r="BV108" s="37"/>
      <c r="BW108" s="37"/>
      <c r="BX108" s="37"/>
      <c r="BY108" s="37"/>
      <c r="BZ108" s="37"/>
      <c r="CA108" s="33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3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3"/>
      <c r="DX108" s="37"/>
      <c r="DY108" s="37"/>
      <c r="DZ108" s="33"/>
      <c r="EA108" s="33"/>
      <c r="EB108" s="37"/>
      <c r="EC108" s="33"/>
      <c r="ED108" s="33"/>
      <c r="EE108" s="33"/>
      <c r="EF108" s="33"/>
      <c r="EG108" s="33"/>
      <c r="EH108" s="37"/>
      <c r="EI108" s="37"/>
      <c r="EJ108" s="37"/>
      <c r="EK108" s="37"/>
      <c r="EL108" s="37"/>
      <c r="EO108" s="37"/>
    </row>
    <row r="109" spans="1:145" ht="16.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3"/>
      <c r="BR109" s="37"/>
      <c r="BS109" s="37"/>
      <c r="BT109" s="37"/>
      <c r="BU109" s="37"/>
      <c r="BV109" s="37"/>
      <c r="BW109" s="37"/>
      <c r="BX109" s="37"/>
      <c r="BY109" s="37"/>
      <c r="BZ109" s="37"/>
      <c r="CA109" s="33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3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3"/>
      <c r="DX109" s="37"/>
      <c r="DY109" s="37"/>
      <c r="DZ109" s="33"/>
      <c r="EA109" s="33"/>
      <c r="EB109" s="37"/>
      <c r="EC109" s="33"/>
      <c r="ED109" s="33"/>
      <c r="EE109" s="33"/>
      <c r="EF109" s="33"/>
      <c r="EG109" s="33"/>
      <c r="EH109" s="37"/>
      <c r="EI109" s="37"/>
      <c r="EJ109" s="37"/>
      <c r="EK109" s="37"/>
      <c r="EL109" s="37"/>
      <c r="EO109" s="37"/>
    </row>
    <row r="110" spans="1:145" ht="16.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3"/>
      <c r="BR110" s="37"/>
      <c r="BS110" s="37"/>
      <c r="BT110" s="37"/>
      <c r="BU110" s="37"/>
      <c r="BV110" s="37"/>
      <c r="BW110" s="37"/>
      <c r="BX110" s="37"/>
      <c r="BY110" s="37"/>
      <c r="BZ110" s="37"/>
      <c r="CA110" s="33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3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3"/>
      <c r="DX110" s="37"/>
      <c r="DY110" s="37"/>
      <c r="DZ110" s="33"/>
      <c r="EA110" s="33"/>
      <c r="EB110" s="37"/>
      <c r="EC110" s="33"/>
      <c r="ED110" s="33"/>
      <c r="EE110" s="33"/>
      <c r="EF110" s="33"/>
      <c r="EG110" s="33"/>
      <c r="EH110" s="37"/>
      <c r="EI110" s="37"/>
      <c r="EJ110" s="37"/>
      <c r="EK110" s="37"/>
      <c r="EL110" s="37"/>
      <c r="EO110" s="37"/>
    </row>
    <row r="111" spans="1:145" ht="16.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3"/>
      <c r="BR111" s="37"/>
      <c r="BS111" s="37"/>
      <c r="BT111" s="37"/>
      <c r="BU111" s="37"/>
      <c r="BV111" s="37"/>
      <c r="BW111" s="37"/>
      <c r="BX111" s="37"/>
      <c r="BY111" s="37"/>
      <c r="BZ111" s="37"/>
      <c r="CA111" s="33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3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3"/>
      <c r="DX111" s="37"/>
      <c r="DY111" s="37"/>
      <c r="DZ111" s="33"/>
      <c r="EA111" s="33"/>
      <c r="EB111" s="37"/>
      <c r="EC111" s="33"/>
      <c r="ED111" s="33"/>
      <c r="EE111" s="33"/>
      <c r="EF111" s="33"/>
      <c r="EG111" s="33"/>
      <c r="EH111" s="37"/>
      <c r="EI111" s="37"/>
      <c r="EJ111" s="37"/>
      <c r="EK111" s="37"/>
      <c r="EL111" s="37"/>
      <c r="EO111" s="37"/>
    </row>
    <row r="112" spans="1:145" ht="16.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3"/>
      <c r="BR112" s="37"/>
      <c r="BS112" s="37"/>
      <c r="BT112" s="37"/>
      <c r="BU112" s="37"/>
      <c r="BV112" s="37"/>
      <c r="BW112" s="37"/>
      <c r="BX112" s="37"/>
      <c r="BY112" s="37"/>
      <c r="BZ112" s="37"/>
      <c r="CA112" s="33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3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3"/>
      <c r="DX112" s="37"/>
      <c r="DY112" s="37"/>
      <c r="DZ112" s="33"/>
      <c r="EA112" s="33"/>
      <c r="EB112" s="37"/>
      <c r="EC112" s="33"/>
      <c r="ED112" s="33"/>
      <c r="EE112" s="33"/>
      <c r="EF112" s="33"/>
      <c r="EG112" s="33"/>
      <c r="EH112" s="37"/>
      <c r="EI112" s="37"/>
      <c r="EJ112" s="37"/>
      <c r="EK112" s="37"/>
      <c r="EL112" s="37"/>
      <c r="EO112" s="37"/>
    </row>
    <row r="113" spans="1:145" ht="16.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3"/>
      <c r="BR113" s="37"/>
      <c r="BS113" s="37"/>
      <c r="BT113" s="37"/>
      <c r="BU113" s="37"/>
      <c r="BV113" s="37"/>
      <c r="BW113" s="37"/>
      <c r="BX113" s="37"/>
      <c r="BY113" s="37"/>
      <c r="BZ113" s="37"/>
      <c r="CA113" s="33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3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3"/>
      <c r="DX113" s="37"/>
      <c r="DY113" s="37"/>
      <c r="DZ113" s="33"/>
      <c r="EA113" s="33"/>
      <c r="EB113" s="37"/>
      <c r="EC113" s="33"/>
      <c r="ED113" s="33"/>
      <c r="EE113" s="33"/>
      <c r="EF113" s="33"/>
      <c r="EG113" s="33"/>
      <c r="EH113" s="37"/>
      <c r="EI113" s="37"/>
      <c r="EJ113" s="37"/>
      <c r="EK113" s="37"/>
      <c r="EL113" s="37"/>
      <c r="EO113" s="37"/>
    </row>
    <row r="114" spans="1:145" ht="16.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3"/>
      <c r="BR114" s="37"/>
      <c r="BS114" s="37"/>
      <c r="BT114" s="37"/>
      <c r="BU114" s="37"/>
      <c r="BV114" s="37"/>
      <c r="BW114" s="37"/>
      <c r="BX114" s="37"/>
      <c r="BY114" s="37"/>
      <c r="BZ114" s="37"/>
      <c r="CA114" s="33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3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3"/>
      <c r="DX114" s="37"/>
      <c r="DY114" s="37"/>
      <c r="DZ114" s="33"/>
      <c r="EA114" s="33"/>
      <c r="EB114" s="37"/>
      <c r="EC114" s="33"/>
      <c r="ED114" s="33"/>
      <c r="EE114" s="33"/>
      <c r="EF114" s="33"/>
      <c r="EG114" s="33"/>
      <c r="EH114" s="37"/>
      <c r="EI114" s="37"/>
      <c r="EJ114" s="37"/>
      <c r="EK114" s="37"/>
      <c r="EL114" s="37"/>
      <c r="EO114" s="37"/>
    </row>
    <row r="115" spans="1:145" ht="16.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3"/>
      <c r="BR115" s="37"/>
      <c r="BS115" s="37"/>
      <c r="BT115" s="37"/>
      <c r="BU115" s="37"/>
      <c r="BV115" s="37"/>
      <c r="BW115" s="37"/>
      <c r="BX115" s="37"/>
      <c r="BY115" s="37"/>
      <c r="BZ115" s="37"/>
      <c r="CA115" s="33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3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3"/>
      <c r="DX115" s="37"/>
      <c r="DY115" s="37"/>
      <c r="DZ115" s="33"/>
      <c r="EA115" s="33"/>
      <c r="EB115" s="37"/>
      <c r="EC115" s="33"/>
      <c r="ED115" s="33"/>
      <c r="EE115" s="33"/>
      <c r="EF115" s="33"/>
      <c r="EG115" s="33"/>
      <c r="EH115" s="37"/>
      <c r="EI115" s="37"/>
      <c r="EJ115" s="37"/>
      <c r="EK115" s="37"/>
      <c r="EL115" s="37"/>
      <c r="EO115" s="37"/>
    </row>
    <row r="116" spans="1:145" ht="16.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3"/>
      <c r="BR116" s="37"/>
      <c r="BS116" s="37"/>
      <c r="BT116" s="37"/>
      <c r="BU116" s="37"/>
      <c r="BV116" s="37"/>
      <c r="BW116" s="37"/>
      <c r="BX116" s="37"/>
      <c r="BY116" s="37"/>
      <c r="BZ116" s="37"/>
      <c r="CA116" s="33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3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3"/>
      <c r="DX116" s="37"/>
      <c r="DY116" s="37"/>
      <c r="DZ116" s="33"/>
      <c r="EA116" s="33"/>
      <c r="EB116" s="37"/>
      <c r="EC116" s="33"/>
      <c r="ED116" s="33"/>
      <c r="EE116" s="33"/>
      <c r="EF116" s="33"/>
      <c r="EG116" s="33"/>
      <c r="EH116" s="37"/>
      <c r="EI116" s="37"/>
      <c r="EJ116" s="37"/>
      <c r="EK116" s="37"/>
      <c r="EL116" s="37"/>
      <c r="EO116" s="37"/>
    </row>
    <row r="117" spans="1:145" ht="16.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3"/>
      <c r="BR117" s="37"/>
      <c r="BS117" s="37"/>
      <c r="BT117" s="37"/>
      <c r="BU117" s="37"/>
      <c r="BV117" s="37"/>
      <c r="BW117" s="37"/>
      <c r="BX117" s="37"/>
      <c r="BY117" s="37"/>
      <c r="BZ117" s="37"/>
      <c r="CA117" s="33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3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3"/>
      <c r="DX117" s="37"/>
      <c r="DY117" s="37"/>
      <c r="DZ117" s="33"/>
      <c r="EA117" s="33"/>
      <c r="EB117" s="37"/>
      <c r="EC117" s="33"/>
      <c r="ED117" s="33"/>
      <c r="EE117" s="33"/>
      <c r="EF117" s="33"/>
      <c r="EG117" s="33"/>
      <c r="EH117" s="37"/>
      <c r="EI117" s="37"/>
      <c r="EJ117" s="37"/>
      <c r="EK117" s="37"/>
      <c r="EL117" s="37"/>
      <c r="EO117" s="37"/>
    </row>
    <row r="118" spans="1:145" ht="16.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3"/>
      <c r="BR118" s="37"/>
      <c r="BS118" s="37"/>
      <c r="BT118" s="37"/>
      <c r="BU118" s="37"/>
      <c r="BV118" s="37"/>
      <c r="BW118" s="37"/>
      <c r="BX118" s="37"/>
      <c r="BY118" s="37"/>
      <c r="BZ118" s="37"/>
      <c r="CA118" s="33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3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3"/>
      <c r="DX118" s="37"/>
      <c r="DY118" s="37"/>
      <c r="DZ118" s="33"/>
      <c r="EA118" s="33"/>
      <c r="EB118" s="37"/>
      <c r="EC118" s="33"/>
      <c r="ED118" s="33"/>
      <c r="EE118" s="33"/>
      <c r="EF118" s="33"/>
      <c r="EG118" s="33"/>
      <c r="EH118" s="37"/>
      <c r="EI118" s="37"/>
      <c r="EJ118" s="37"/>
      <c r="EK118" s="37"/>
      <c r="EL118" s="37"/>
      <c r="EO118" s="37"/>
    </row>
    <row r="119" spans="1:145" ht="16.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3"/>
      <c r="BR119" s="37"/>
      <c r="BS119" s="37"/>
      <c r="BT119" s="37"/>
      <c r="BU119" s="37"/>
      <c r="BV119" s="37"/>
      <c r="BW119" s="37"/>
      <c r="BX119" s="37"/>
      <c r="BY119" s="37"/>
      <c r="BZ119" s="37"/>
      <c r="CA119" s="33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3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3"/>
      <c r="DX119" s="37"/>
      <c r="DY119" s="37"/>
      <c r="DZ119" s="33"/>
      <c r="EA119" s="33"/>
      <c r="EB119" s="37"/>
      <c r="EC119" s="33"/>
      <c r="ED119" s="33"/>
      <c r="EE119" s="33"/>
      <c r="EF119" s="33"/>
      <c r="EG119" s="33"/>
      <c r="EH119" s="37"/>
      <c r="EI119" s="37"/>
      <c r="EJ119" s="37"/>
      <c r="EK119" s="37"/>
      <c r="EL119" s="37"/>
      <c r="EO119" s="37"/>
    </row>
    <row r="120" spans="1:145" ht="16.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3"/>
      <c r="BR120" s="37"/>
      <c r="BS120" s="37"/>
      <c r="BT120" s="37"/>
      <c r="BU120" s="37"/>
      <c r="BV120" s="37"/>
      <c r="BW120" s="37"/>
      <c r="BX120" s="37"/>
      <c r="BY120" s="37"/>
      <c r="BZ120" s="37"/>
      <c r="CA120" s="33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3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3"/>
      <c r="DX120" s="37"/>
      <c r="DY120" s="37"/>
      <c r="DZ120" s="33"/>
      <c r="EA120" s="33"/>
      <c r="EB120" s="37"/>
      <c r="EC120" s="33"/>
      <c r="ED120" s="33"/>
      <c r="EE120" s="33"/>
      <c r="EF120" s="33"/>
      <c r="EG120" s="33"/>
      <c r="EH120" s="37"/>
      <c r="EI120" s="37"/>
      <c r="EJ120" s="37"/>
      <c r="EK120" s="37"/>
      <c r="EL120" s="37"/>
      <c r="EO120" s="37"/>
    </row>
    <row r="121" spans="1:145" ht="16.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3"/>
      <c r="BR121" s="37"/>
      <c r="BS121" s="37"/>
      <c r="BT121" s="37"/>
      <c r="BU121" s="37"/>
      <c r="BV121" s="37"/>
      <c r="BW121" s="37"/>
      <c r="BX121" s="37"/>
      <c r="BY121" s="37"/>
      <c r="BZ121" s="37"/>
      <c r="CA121" s="33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3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3"/>
      <c r="DX121" s="37"/>
      <c r="DY121" s="37"/>
      <c r="DZ121" s="33"/>
      <c r="EA121" s="33"/>
      <c r="EB121" s="37"/>
      <c r="EC121" s="33"/>
      <c r="ED121" s="33"/>
      <c r="EE121" s="33"/>
      <c r="EF121" s="33"/>
      <c r="EG121" s="33"/>
      <c r="EH121" s="37"/>
      <c r="EI121" s="37"/>
      <c r="EJ121" s="37"/>
      <c r="EK121" s="37"/>
      <c r="EL121" s="37"/>
      <c r="EO121" s="37"/>
    </row>
    <row r="122" spans="1:145" ht="16.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3"/>
      <c r="BR122" s="37"/>
      <c r="BS122" s="37"/>
      <c r="BT122" s="37"/>
      <c r="BU122" s="37"/>
      <c r="BV122" s="37"/>
      <c r="BW122" s="37"/>
      <c r="BX122" s="37"/>
      <c r="BY122" s="37"/>
      <c r="BZ122" s="37"/>
      <c r="CA122" s="33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3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3"/>
      <c r="DX122" s="37"/>
      <c r="DY122" s="37"/>
      <c r="DZ122" s="33"/>
      <c r="EA122" s="33"/>
      <c r="EB122" s="37"/>
      <c r="EC122" s="33"/>
      <c r="ED122" s="33"/>
      <c r="EE122" s="33"/>
      <c r="EF122" s="33"/>
      <c r="EG122" s="33"/>
      <c r="EH122" s="37"/>
      <c r="EI122" s="37"/>
      <c r="EJ122" s="37"/>
      <c r="EK122" s="37"/>
      <c r="EL122" s="37"/>
      <c r="EO122" s="37"/>
    </row>
    <row r="123" spans="1:145" ht="16.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3"/>
      <c r="BR123" s="37"/>
      <c r="BS123" s="37"/>
      <c r="BT123" s="37"/>
      <c r="BU123" s="37"/>
      <c r="BV123" s="37"/>
      <c r="BW123" s="37"/>
      <c r="BX123" s="37"/>
      <c r="BY123" s="37"/>
      <c r="BZ123" s="37"/>
      <c r="CA123" s="33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3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3"/>
      <c r="DX123" s="37"/>
      <c r="DY123" s="37"/>
      <c r="DZ123" s="33"/>
      <c r="EA123" s="33"/>
      <c r="EB123" s="37"/>
      <c r="EC123" s="33"/>
      <c r="ED123" s="33"/>
      <c r="EE123" s="33"/>
      <c r="EF123" s="33"/>
      <c r="EG123" s="33"/>
      <c r="EH123" s="37"/>
      <c r="EI123" s="37"/>
      <c r="EJ123" s="37"/>
      <c r="EK123" s="37"/>
      <c r="EL123" s="37"/>
      <c r="EO123" s="37"/>
    </row>
    <row r="124" spans="1:145" ht="16.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3"/>
      <c r="BR124" s="37"/>
      <c r="BS124" s="37"/>
      <c r="BT124" s="37"/>
      <c r="BU124" s="37"/>
      <c r="BV124" s="37"/>
      <c r="BW124" s="37"/>
      <c r="BX124" s="37"/>
      <c r="BY124" s="37"/>
      <c r="BZ124" s="37"/>
      <c r="CA124" s="33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3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3"/>
      <c r="DX124" s="37"/>
      <c r="DY124" s="37"/>
      <c r="DZ124" s="33"/>
      <c r="EA124" s="33"/>
      <c r="EB124" s="37"/>
      <c r="EC124" s="33"/>
      <c r="ED124" s="33"/>
      <c r="EE124" s="33"/>
      <c r="EF124" s="33"/>
      <c r="EG124" s="33"/>
      <c r="EH124" s="37"/>
      <c r="EI124" s="37"/>
      <c r="EJ124" s="37"/>
      <c r="EK124" s="37"/>
      <c r="EL124" s="37"/>
      <c r="EO124" s="37"/>
    </row>
    <row r="125" spans="1:145" ht="16.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3"/>
      <c r="BR125" s="37"/>
      <c r="BS125" s="37"/>
      <c r="BT125" s="37"/>
      <c r="BU125" s="37"/>
      <c r="BV125" s="37"/>
      <c r="BW125" s="37"/>
      <c r="BX125" s="37"/>
      <c r="BY125" s="37"/>
      <c r="BZ125" s="37"/>
      <c r="CA125" s="33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3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3"/>
      <c r="DX125" s="37"/>
      <c r="DY125" s="37"/>
      <c r="DZ125" s="33"/>
      <c r="EA125" s="33"/>
      <c r="EB125" s="37"/>
      <c r="EC125" s="33"/>
      <c r="ED125" s="33"/>
      <c r="EE125" s="33"/>
      <c r="EF125" s="33"/>
      <c r="EG125" s="33"/>
      <c r="EH125" s="37"/>
      <c r="EI125" s="37"/>
      <c r="EJ125" s="37"/>
      <c r="EK125" s="37"/>
      <c r="EL125" s="37"/>
      <c r="EO125" s="37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zoomScale="145" zoomScaleNormal="145" workbookViewId="0">
      <selection activeCell="G21" sqref="G21"/>
    </sheetView>
  </sheetViews>
  <sheetFormatPr defaultColWidth="9" defaultRowHeight="14.25"/>
  <cols>
    <col min="1" max="1" width="36.625" customWidth="1"/>
    <col min="2" max="2" width="14.375" customWidth="1"/>
    <col min="3" max="3" width="14.5" customWidth="1"/>
    <col min="8" max="8" width="9.125" customWidth="1"/>
  </cols>
  <sheetData>
    <row r="3" spans="1:5">
      <c r="A3" t="s">
        <v>155</v>
      </c>
      <c r="B3" t="s">
        <v>156</v>
      </c>
      <c r="C3" t="s">
        <v>4</v>
      </c>
    </row>
    <row r="4" spans="1:5">
      <c r="A4" s="21" t="s">
        <v>151</v>
      </c>
      <c r="B4">
        <v>8</v>
      </c>
      <c r="C4">
        <f>B11-B12-C13+C15</f>
        <v>8</v>
      </c>
      <c r="E4" s="12"/>
    </row>
    <row r="5" spans="1:5">
      <c r="A5" s="21" t="s">
        <v>157</v>
      </c>
      <c r="B5">
        <v>8</v>
      </c>
    </row>
    <row r="10" spans="1:5">
      <c r="A10" s="22"/>
      <c r="B10" s="22" t="s">
        <v>158</v>
      </c>
      <c r="C10" s="22" t="s">
        <v>159</v>
      </c>
    </row>
    <row r="11" spans="1:5">
      <c r="A11" s="22" t="s">
        <v>160</v>
      </c>
      <c r="B11" s="22">
        <v>10</v>
      </c>
      <c r="C11" s="23">
        <f>GETPIVOTDATA("WEIN",$A$3,"Hire Status","Active")</f>
        <v>8</v>
      </c>
    </row>
    <row r="12" spans="1:5">
      <c r="A12" s="22" t="s">
        <v>161</v>
      </c>
      <c r="B12" s="22">
        <v>0</v>
      </c>
      <c r="C12" s="23">
        <v>0</v>
      </c>
    </row>
    <row r="13" spans="1:5" ht="15">
      <c r="A13" s="22" t="s">
        <v>162</v>
      </c>
      <c r="B13" s="24">
        <v>0</v>
      </c>
      <c r="C13" s="25">
        <v>2</v>
      </c>
      <c r="D13" s="26"/>
    </row>
    <row r="14" spans="1:5">
      <c r="A14" s="22" t="s">
        <v>163</v>
      </c>
      <c r="B14" s="24">
        <v>0</v>
      </c>
      <c r="C14" s="25">
        <v>3</v>
      </c>
    </row>
    <row r="15" spans="1:5">
      <c r="A15" s="22" t="s">
        <v>164</v>
      </c>
      <c r="B15" s="22">
        <v>0</v>
      </c>
      <c r="C15" s="25">
        <v>0</v>
      </c>
    </row>
  </sheetData>
  <phoneticPr fontId="18" type="noConversion"/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W133"/>
  <sheetViews>
    <sheetView topLeftCell="D1" zoomScale="80" zoomScaleNormal="80" workbookViewId="0">
      <pane xSplit="1" ySplit="3" topLeftCell="CZ4" activePane="bottomRight" state="frozen"/>
      <selection pane="topRight"/>
      <selection pane="bottomLeft"/>
      <selection pane="bottomRight" activeCell="DJ2" sqref="DJ2"/>
    </sheetView>
  </sheetViews>
  <sheetFormatPr defaultColWidth="26" defaultRowHeight="14.25" outlineLevelCol="1"/>
  <cols>
    <col min="1" max="3" width="17.25" hidden="1" customWidth="1" outlineLevel="1"/>
    <col min="4" max="4" width="15.25" customWidth="1" collapsed="1"/>
    <col min="5" max="127" width="15.25" customWidth="1"/>
  </cols>
  <sheetData>
    <row r="1" spans="1:127" ht="16.5">
      <c r="M1" s="7" t="s">
        <v>165</v>
      </c>
      <c r="N1" s="7"/>
      <c r="O1" s="7"/>
      <c r="P1" s="8" t="s">
        <v>165</v>
      </c>
      <c r="Q1" s="8"/>
      <c r="R1" s="8"/>
      <c r="S1" s="8" t="s">
        <v>165</v>
      </c>
      <c r="T1" s="8"/>
      <c r="U1" s="8"/>
      <c r="V1" s="8" t="s">
        <v>165</v>
      </c>
      <c r="AB1" s="8" t="s">
        <v>165</v>
      </c>
      <c r="AC1" s="8"/>
      <c r="AD1" s="12" t="s">
        <v>166</v>
      </c>
      <c r="AE1" s="13" t="s">
        <v>167</v>
      </c>
      <c r="AF1" s="13"/>
      <c r="AG1" s="13"/>
      <c r="AH1" s="13" t="s">
        <v>167</v>
      </c>
      <c r="AO1" s="8" t="s">
        <v>168</v>
      </c>
      <c r="AP1" s="8"/>
      <c r="AQ1" s="8"/>
      <c r="AR1" s="13" t="s">
        <v>167</v>
      </c>
      <c r="AS1" s="13"/>
      <c r="AT1" s="13"/>
      <c r="AY1" s="17" t="s">
        <v>169</v>
      </c>
      <c r="BB1" s="18" t="e">
        <f>SUM(BB3:BB132)-SUM(#REF!)</f>
        <v>#REF!</v>
      </c>
      <c r="BD1" s="18" t="e">
        <f>SUM(#REF!)-SUM(BD3:BD132)</f>
        <v>#REF!</v>
      </c>
      <c r="BK1" s="13" t="s">
        <v>170</v>
      </c>
      <c r="BL1" s="13"/>
      <c r="BM1" s="13"/>
      <c r="BR1" s="8" t="s">
        <v>171</v>
      </c>
      <c r="BT1" s="8" t="s">
        <v>172</v>
      </c>
      <c r="BX1" s="13" t="s">
        <v>167</v>
      </c>
      <c r="BY1" s="13"/>
      <c r="BZ1" s="13"/>
      <c r="CA1" s="13" t="s">
        <v>167</v>
      </c>
      <c r="CB1" s="13"/>
      <c r="CC1" s="13"/>
      <c r="CD1" s="13" t="s">
        <v>167</v>
      </c>
      <c r="CE1" s="13"/>
      <c r="CF1" s="13"/>
      <c r="CG1" s="8" t="s">
        <v>173</v>
      </c>
      <c r="CP1" s="13" t="s">
        <v>167</v>
      </c>
      <c r="CQ1" s="13"/>
      <c r="CR1" s="13" t="s">
        <v>167</v>
      </c>
      <c r="CS1" s="13"/>
      <c r="CT1" s="13" t="s">
        <v>167</v>
      </c>
      <c r="CU1" s="13"/>
      <c r="CV1" s="13"/>
      <c r="CW1" s="13" t="s">
        <v>167</v>
      </c>
      <c r="CX1" s="13"/>
      <c r="CY1" s="13"/>
      <c r="CZ1" s="13" t="s">
        <v>167</v>
      </c>
      <c r="DA1" s="13"/>
      <c r="DB1" s="13"/>
      <c r="DC1" s="13" t="s">
        <v>167</v>
      </c>
      <c r="DD1" s="13"/>
      <c r="DE1" s="13"/>
      <c r="DF1" s="13" t="s">
        <v>167</v>
      </c>
      <c r="DG1" s="13"/>
      <c r="DH1" s="13"/>
      <c r="DI1" s="8" t="s">
        <v>174</v>
      </c>
      <c r="DJ1" s="20" t="e">
        <f>SUM(DI3:DI132)-SUM(#REF!)</f>
        <v>#REF!</v>
      </c>
    </row>
    <row r="2" spans="1:127" s="1" customFormat="1" ht="44.25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175</v>
      </c>
      <c r="F2" s="2" t="s">
        <v>6</v>
      </c>
      <c r="G2" s="2" t="s">
        <v>7</v>
      </c>
      <c r="H2" s="4" t="s">
        <v>8</v>
      </c>
      <c r="I2" s="4" t="s">
        <v>4</v>
      </c>
      <c r="J2" s="4" t="s">
        <v>5</v>
      </c>
      <c r="K2" s="2" t="s">
        <v>9</v>
      </c>
      <c r="L2" s="2" t="s">
        <v>10</v>
      </c>
      <c r="M2" s="2" t="s">
        <v>11</v>
      </c>
      <c r="N2" s="9" t="s">
        <v>176</v>
      </c>
      <c r="O2" s="4" t="s">
        <v>177</v>
      </c>
      <c r="P2" s="2" t="s">
        <v>13</v>
      </c>
      <c r="Q2" s="4" t="s">
        <v>176</v>
      </c>
      <c r="R2" s="4" t="s">
        <v>5</v>
      </c>
      <c r="S2" s="2" t="s">
        <v>15</v>
      </c>
      <c r="T2" s="4" t="s">
        <v>178</v>
      </c>
      <c r="U2" s="4" t="s">
        <v>5</v>
      </c>
      <c r="V2" s="2" t="s">
        <v>17</v>
      </c>
      <c r="W2" s="4" t="s">
        <v>176</v>
      </c>
      <c r="X2" s="4" t="s">
        <v>5</v>
      </c>
      <c r="Y2" s="2" t="s">
        <v>18</v>
      </c>
      <c r="Z2" s="2" t="s">
        <v>19</v>
      </c>
      <c r="AA2" s="2" t="s">
        <v>20</v>
      </c>
      <c r="AB2" s="2" t="s">
        <v>21</v>
      </c>
      <c r="AC2" s="9" t="s">
        <v>4</v>
      </c>
      <c r="AD2" s="9" t="s">
        <v>5</v>
      </c>
      <c r="AE2" s="2" t="s">
        <v>22</v>
      </c>
      <c r="AF2" s="9" t="s">
        <v>4</v>
      </c>
      <c r="AG2" s="9" t="s">
        <v>5</v>
      </c>
      <c r="AH2" s="16" t="s">
        <v>23</v>
      </c>
      <c r="AI2" s="9" t="s">
        <v>4</v>
      </c>
      <c r="AJ2" s="9" t="s">
        <v>5</v>
      </c>
      <c r="AK2" s="2" t="s">
        <v>24</v>
      </c>
      <c r="AL2" s="9" t="s">
        <v>4</v>
      </c>
      <c r="AM2" s="9" t="s">
        <v>5</v>
      </c>
      <c r="AN2" s="2" t="s">
        <v>25</v>
      </c>
      <c r="AO2" s="2" t="s">
        <v>29</v>
      </c>
      <c r="AP2" s="9" t="s">
        <v>4</v>
      </c>
      <c r="AQ2" s="4" t="s">
        <v>5</v>
      </c>
      <c r="AR2" s="2" t="s">
        <v>30</v>
      </c>
      <c r="AS2" s="9" t="s">
        <v>4</v>
      </c>
      <c r="AT2" s="4" t="s">
        <v>5</v>
      </c>
      <c r="AU2" s="2" t="s">
        <v>31</v>
      </c>
      <c r="AV2" s="9" t="s">
        <v>4</v>
      </c>
      <c r="AW2" s="2" t="s">
        <v>32</v>
      </c>
      <c r="AX2" s="9" t="s">
        <v>4</v>
      </c>
      <c r="AY2" s="2" t="s">
        <v>33</v>
      </c>
      <c r="AZ2" s="9" t="s">
        <v>4</v>
      </c>
      <c r="BA2" s="2" t="s">
        <v>35</v>
      </c>
      <c r="BB2" s="4" t="s">
        <v>179</v>
      </c>
      <c r="BC2" s="4" t="s">
        <v>180</v>
      </c>
      <c r="BD2" s="4" t="s">
        <v>181</v>
      </c>
      <c r="BE2" s="4" t="s">
        <v>182</v>
      </c>
      <c r="BF2" s="9" t="s">
        <v>4</v>
      </c>
      <c r="BG2" s="4" t="s">
        <v>5</v>
      </c>
      <c r="BH2" s="2" t="s">
        <v>36</v>
      </c>
      <c r="BI2" s="9" t="s">
        <v>4</v>
      </c>
      <c r="BJ2" s="4" t="s">
        <v>5</v>
      </c>
      <c r="BK2" s="2" t="s">
        <v>47</v>
      </c>
      <c r="BL2" s="4" t="s">
        <v>4</v>
      </c>
      <c r="BM2" s="4" t="s">
        <v>177</v>
      </c>
      <c r="BN2" s="2" t="s">
        <v>51</v>
      </c>
      <c r="BO2" s="19" t="s">
        <v>183</v>
      </c>
      <c r="BP2" s="4" t="s">
        <v>4</v>
      </c>
      <c r="BQ2" s="4" t="s">
        <v>177</v>
      </c>
      <c r="BR2" s="2" t="s">
        <v>54</v>
      </c>
      <c r="BS2" s="4" t="s">
        <v>4</v>
      </c>
      <c r="BT2" s="2" t="s">
        <v>63</v>
      </c>
      <c r="BU2" s="4" t="s">
        <v>4</v>
      </c>
      <c r="BV2" s="2" t="s">
        <v>75</v>
      </c>
      <c r="BW2" s="4" t="s">
        <v>4</v>
      </c>
      <c r="BX2" s="2" t="s">
        <v>76</v>
      </c>
      <c r="BY2" s="9" t="s">
        <v>4</v>
      </c>
      <c r="BZ2" s="4" t="s">
        <v>177</v>
      </c>
      <c r="CA2" s="2" t="s">
        <v>77</v>
      </c>
      <c r="CB2" s="9" t="s">
        <v>4</v>
      </c>
      <c r="CC2" s="4" t="s">
        <v>177</v>
      </c>
      <c r="CD2" s="2" t="s">
        <v>78</v>
      </c>
      <c r="CE2" s="9" t="s">
        <v>4</v>
      </c>
      <c r="CF2" s="4" t="s">
        <v>177</v>
      </c>
      <c r="CG2" s="2" t="s">
        <v>83</v>
      </c>
      <c r="CH2" s="9" t="s">
        <v>4</v>
      </c>
      <c r="CI2" s="2" t="s">
        <v>87</v>
      </c>
      <c r="CJ2" s="2" t="s">
        <v>90</v>
      </c>
      <c r="CK2" s="9" t="s">
        <v>4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97</v>
      </c>
      <c r="CQ2" s="9" t="s">
        <v>4</v>
      </c>
      <c r="CR2" s="2" t="s">
        <v>100</v>
      </c>
      <c r="CS2" s="9" t="s">
        <v>4</v>
      </c>
      <c r="CT2" s="2" t="s">
        <v>101</v>
      </c>
      <c r="CU2" s="9" t="s">
        <v>4</v>
      </c>
      <c r="CV2" s="9" t="s">
        <v>177</v>
      </c>
      <c r="CW2" s="2" t="s">
        <v>102</v>
      </c>
      <c r="CX2" s="9" t="s">
        <v>4</v>
      </c>
      <c r="CY2" s="9" t="s">
        <v>177</v>
      </c>
      <c r="CZ2" s="2" t="s">
        <v>103</v>
      </c>
      <c r="DA2" s="9" t="s">
        <v>4</v>
      </c>
      <c r="DB2" s="9" t="s">
        <v>177</v>
      </c>
      <c r="DC2" s="2" t="s">
        <v>104</v>
      </c>
      <c r="DD2" s="9" t="s">
        <v>4</v>
      </c>
      <c r="DE2" s="9" t="s">
        <v>177</v>
      </c>
      <c r="DF2" s="2" t="s">
        <v>107</v>
      </c>
      <c r="DG2" s="9" t="s">
        <v>4</v>
      </c>
      <c r="DH2" s="9" t="s">
        <v>177</v>
      </c>
      <c r="DI2" s="2" t="s">
        <v>109</v>
      </c>
      <c r="DJ2" s="9" t="s">
        <v>4</v>
      </c>
      <c r="DK2" s="9" t="s">
        <v>177</v>
      </c>
      <c r="DL2" s="2" t="s">
        <v>110</v>
      </c>
      <c r="DM2" s="2" t="s">
        <v>111</v>
      </c>
      <c r="DN2" s="2" t="s">
        <v>117</v>
      </c>
      <c r="DO2" s="2" t="s">
        <v>118</v>
      </c>
      <c r="DP2" s="2" t="s">
        <v>122</v>
      </c>
      <c r="DQ2" s="2" t="s">
        <v>126</v>
      </c>
      <c r="DR2" s="2" t="s">
        <v>128</v>
      </c>
      <c r="DS2" s="2" t="s">
        <v>132</v>
      </c>
      <c r="DT2" s="2" t="s">
        <v>136</v>
      </c>
      <c r="DU2" s="2" t="s">
        <v>137</v>
      </c>
      <c r="DV2" s="2" t="s">
        <v>138</v>
      </c>
      <c r="DW2" s="2" t="s">
        <v>139</v>
      </c>
    </row>
    <row r="3" spans="1:127" ht="16.5">
      <c r="A3" s="5" t="s">
        <v>184</v>
      </c>
      <c r="B3" s="5" t="s">
        <v>147</v>
      </c>
      <c r="C3" s="5" t="s">
        <v>148</v>
      </c>
      <c r="D3" s="6" t="s">
        <v>185</v>
      </c>
      <c r="E3" s="5" t="e">
        <f>VLOOKUP(D3,#REF!,1,0)</f>
        <v>#REF!</v>
      </c>
      <c r="F3" s="5" t="s">
        <v>186</v>
      </c>
      <c r="G3" s="5" t="s">
        <v>187</v>
      </c>
      <c r="H3" s="5" t="str">
        <f t="shared" ref="H3:H66" si="0">G3&amp;" "&amp;F3</f>
        <v>Wu Kei Fong</v>
      </c>
      <c r="I3" s="5" t="e">
        <f>VLOOKUP(D3,#REF!,9,0)</f>
        <v>#REF!</v>
      </c>
      <c r="J3" s="5" t="e">
        <f t="shared" ref="J3:J66" si="1">I3=H3</f>
        <v>#REF!</v>
      </c>
      <c r="K3" s="5" t="s">
        <v>187</v>
      </c>
      <c r="L3" s="5" t="s">
        <v>151</v>
      </c>
      <c r="M3" s="5" t="s">
        <v>188</v>
      </c>
      <c r="N3" s="10" t="e">
        <f>VLOOKUP(D3,#REF!,80,0)</f>
        <v>#REF!</v>
      </c>
      <c r="O3" s="11" t="e">
        <f>N3-M3</f>
        <v>#REF!</v>
      </c>
      <c r="P3" s="5" t="s">
        <v>189</v>
      </c>
      <c r="Q3" s="5" t="e">
        <f>VLOOKUP(D3,#REF!,50,0)</f>
        <v>#REF!</v>
      </c>
      <c r="R3" s="5" t="e">
        <f t="shared" ref="R3" si="2">Q3=P3</f>
        <v>#REF!</v>
      </c>
      <c r="S3" s="5" t="s">
        <v>190</v>
      </c>
      <c r="T3" s="5" t="e">
        <f>VLOOKUP(D3,#REF!,21,0)</f>
        <v>#REF!</v>
      </c>
      <c r="U3" s="5" t="e">
        <f t="shared" ref="U3" si="3">T3=S3</f>
        <v>#REF!</v>
      </c>
      <c r="V3" s="5" t="s">
        <v>191</v>
      </c>
      <c r="W3" s="5" t="e">
        <f>VLOOKUP(D3,#REF!,51,0)</f>
        <v>#REF!</v>
      </c>
      <c r="X3" s="5" t="e">
        <f t="shared" ref="X3" si="4">W3=V3</f>
        <v>#REF!</v>
      </c>
      <c r="Y3" s="5" t="s">
        <v>192</v>
      </c>
      <c r="Z3" s="5" t="s">
        <v>193</v>
      </c>
      <c r="AA3" s="14">
        <v>0.06</v>
      </c>
      <c r="AB3" s="14">
        <v>22000</v>
      </c>
      <c r="AC3" s="14" t="e">
        <f>ROUND(VLOOKUP(D3,#REF!,59,0),0)</f>
        <v>#REF!</v>
      </c>
      <c r="AD3" s="14" t="e">
        <f t="shared" ref="AD3" si="5">AC3-AB3</f>
        <v>#REF!</v>
      </c>
      <c r="AE3" s="14">
        <v>18071.43</v>
      </c>
      <c r="AF3" s="14">
        <f>AB3*23/28</f>
        <v>18071.428571428572</v>
      </c>
      <c r="AG3" s="14">
        <f t="shared" ref="AG3" si="6">AF3-AE3</f>
        <v>-1.4285714278230444E-3</v>
      </c>
      <c r="AH3" s="14">
        <v>0</v>
      </c>
      <c r="AI3" s="14"/>
      <c r="AJ3" s="14"/>
      <c r="AK3" s="14">
        <v>0</v>
      </c>
      <c r="AL3" s="14"/>
      <c r="AM3" s="14"/>
      <c r="AN3" s="14">
        <v>0</v>
      </c>
      <c r="AO3" s="14">
        <v>2500</v>
      </c>
      <c r="AP3" s="14">
        <f>IFERROR(VLOOKUP('Feb for check'!D3,#REF!,15,0),0)</f>
        <v>0</v>
      </c>
      <c r="AQ3" s="14">
        <f>AP3-AO3</f>
        <v>-2500</v>
      </c>
      <c r="AR3" s="14">
        <v>2053.5700000000002</v>
      </c>
      <c r="AS3" s="14">
        <f>AO3*23/28</f>
        <v>2053.5714285714284</v>
      </c>
      <c r="AT3" s="14">
        <f>AS3-AR3</f>
        <v>1.4285714282777917E-3</v>
      </c>
      <c r="AU3" s="14">
        <v>0</v>
      </c>
      <c r="AV3" s="14"/>
      <c r="AW3" s="14">
        <v>0</v>
      </c>
      <c r="AX3" s="14"/>
      <c r="AY3" s="14">
        <v>0</v>
      </c>
      <c r="AZ3" s="14"/>
      <c r="BA3" s="14">
        <v>0</v>
      </c>
      <c r="BB3" s="14">
        <f>IFERROR(VLOOKUP(D3,#REF!,2,0),0)</f>
        <v>0</v>
      </c>
      <c r="BC3" s="14" t="e">
        <f>MAX(VLOOKUP(D3,#REF!,13,0)-VLOOKUP(D3,#REF!,14,0),0)</f>
        <v>#REF!</v>
      </c>
      <c r="BD3" s="14">
        <f>IFERROR(VLOOKUP(D3,#REF!,3,0),0)</f>
        <v>0</v>
      </c>
      <c r="BE3" s="14" t="e">
        <f>MAX(VLOOKUP(D3,#REF!,22,0)-VLOOKUP(D3,#REF!,23,0),0)</f>
        <v>#REF!</v>
      </c>
      <c r="BF3" s="14" t="e">
        <f>BB3*BC3+BD3*BE3</f>
        <v>#REF!</v>
      </c>
      <c r="BG3" s="14" t="e">
        <f>BF3-BA3</f>
        <v>#REF!</v>
      </c>
      <c r="BH3" s="14">
        <v>0</v>
      </c>
      <c r="BI3" s="14"/>
      <c r="BJ3" s="14"/>
      <c r="BK3" s="14">
        <v>0</v>
      </c>
      <c r="BL3" s="14">
        <f>ROUNDUP(DI3/(1-0.17)*0.17,0)</f>
        <v>0</v>
      </c>
      <c r="BM3" s="14">
        <f t="shared" ref="BM3" si="7">BL3-BK3</f>
        <v>0</v>
      </c>
      <c r="BN3" s="14">
        <v>0</v>
      </c>
      <c r="BO3" s="14"/>
      <c r="BP3" s="14"/>
      <c r="BQ3" s="14"/>
      <c r="BR3" s="14">
        <v>0</v>
      </c>
      <c r="BS3" s="14"/>
      <c r="BT3" s="14">
        <v>0</v>
      </c>
      <c r="BU3" s="14"/>
      <c r="BV3" s="14">
        <v>0</v>
      </c>
      <c r="BW3" s="14"/>
      <c r="BX3" s="14">
        <v>20125</v>
      </c>
      <c r="BY3" s="14">
        <f>SUM(AE3,AH3,AN3,AR3,AU3,AY3,BA3,BH3,BK3,BN3,BR3,BT3)</f>
        <v>20125</v>
      </c>
      <c r="BZ3" s="14">
        <f t="shared" ref="BZ3" si="8">BY3-BX3</f>
        <v>0</v>
      </c>
      <c r="CA3" s="14">
        <v>18071.43</v>
      </c>
      <c r="CB3" s="14">
        <f>SUM(AE3,AH3,BA3,BH3)</f>
        <v>18071.43</v>
      </c>
      <c r="CC3" s="14">
        <f t="shared" ref="CC3" si="9">CB3-CA3</f>
        <v>0</v>
      </c>
      <c r="CD3" s="14">
        <v>0</v>
      </c>
      <c r="CE3" s="14"/>
      <c r="CF3" s="14"/>
      <c r="CG3" s="14">
        <v>0</v>
      </c>
      <c r="CH3" s="14"/>
      <c r="CI3" s="14">
        <v>0</v>
      </c>
      <c r="CJ3" s="14">
        <v>0</v>
      </c>
      <c r="CK3" s="14"/>
      <c r="CL3" s="14">
        <v>0</v>
      </c>
      <c r="CM3" s="14">
        <v>7.4999999999999997E-2</v>
      </c>
      <c r="CN3" s="14">
        <v>0</v>
      </c>
      <c r="CO3" s="14">
        <v>0</v>
      </c>
      <c r="CP3" s="14">
        <v>0</v>
      </c>
      <c r="CQ3" s="14"/>
      <c r="CR3" s="14">
        <v>0</v>
      </c>
      <c r="CS3" s="14"/>
      <c r="CT3" s="14">
        <v>0</v>
      </c>
      <c r="CU3" s="14">
        <f>MIN(BX3*5%,1500)</f>
        <v>1006.25</v>
      </c>
      <c r="CV3" s="14" t="s">
        <v>194</v>
      </c>
      <c r="CW3" s="14">
        <v>0</v>
      </c>
      <c r="CX3" s="14">
        <f>ROUND(CA3*CJ3,2)</f>
        <v>0</v>
      </c>
      <c r="CY3" s="14">
        <f t="shared" ref="CY3" si="10">CX3-CW3</f>
        <v>0</v>
      </c>
      <c r="CZ3" s="14">
        <v>0</v>
      </c>
      <c r="DA3" s="14">
        <f>MIN(BX3*5%,1500)</f>
        <v>1006.25</v>
      </c>
      <c r="DB3" s="14" t="s">
        <v>194</v>
      </c>
      <c r="DC3" s="14">
        <v>0</v>
      </c>
      <c r="DD3" s="14">
        <f>MAX(ROUND(CA3*CM3-CZ3,2),0)</f>
        <v>1355.36</v>
      </c>
      <c r="DE3" s="14" t="s">
        <v>194</v>
      </c>
      <c r="DF3" s="14">
        <v>20125</v>
      </c>
      <c r="DG3" s="14">
        <f>SUM(AE3,AH3,AN3,AR3,AU3,AY3,BA3,BH3,BK3,BN3,BR3,BT3,BV3,-CG3,-CP3,-CT3,-CW3)</f>
        <v>20125</v>
      </c>
      <c r="DH3" s="14">
        <f>DG3-DF3</f>
        <v>0</v>
      </c>
      <c r="DI3" s="14">
        <v>0</v>
      </c>
      <c r="DJ3" s="14">
        <f>IFERROR(VLOOKUP(D3,#REF!,2,0),0)</f>
        <v>0</v>
      </c>
      <c r="DK3" s="14">
        <f>DJ3-DI3</f>
        <v>0</v>
      </c>
      <c r="DL3" s="14">
        <v>18071.43</v>
      </c>
      <c r="DM3" s="14">
        <v>18071.43</v>
      </c>
      <c r="DN3" s="14">
        <v>1505.95</v>
      </c>
      <c r="DO3" s="14">
        <v>0</v>
      </c>
      <c r="DP3" s="14">
        <v>0</v>
      </c>
      <c r="DQ3" s="14">
        <v>20125</v>
      </c>
      <c r="DR3" s="14">
        <v>23</v>
      </c>
      <c r="DS3" s="14">
        <v>0</v>
      </c>
      <c r="DT3" s="5" t="s">
        <v>188</v>
      </c>
      <c r="DU3" s="5" t="s">
        <v>195</v>
      </c>
      <c r="DV3" s="5" t="s">
        <v>196</v>
      </c>
      <c r="DW3" s="5" t="s">
        <v>197</v>
      </c>
    </row>
    <row r="4" spans="1:127" ht="16.5">
      <c r="A4" s="5" t="s">
        <v>184</v>
      </c>
      <c r="B4" s="5" t="s">
        <v>147</v>
      </c>
      <c r="C4" s="5" t="s">
        <v>148</v>
      </c>
      <c r="D4" s="5" t="s">
        <v>198</v>
      </c>
      <c r="E4" s="5" t="e">
        <f>VLOOKUP(D4,#REF!,1,0)</f>
        <v>#REF!</v>
      </c>
      <c r="F4" s="5" t="s">
        <v>199</v>
      </c>
      <c r="G4" s="5" t="s">
        <v>200</v>
      </c>
      <c r="H4" s="5" t="str">
        <f t="shared" si="0"/>
        <v>Kin Yi Tong</v>
      </c>
      <c r="I4" s="5" t="e">
        <f>VLOOKUP(D4,#REF!,9,0)</f>
        <v>#REF!</v>
      </c>
      <c r="J4" s="5" t="e">
        <f t="shared" si="1"/>
        <v>#REF!</v>
      </c>
      <c r="K4" s="5" t="s">
        <v>201</v>
      </c>
      <c r="L4" s="5" t="s">
        <v>151</v>
      </c>
      <c r="M4" s="5" t="s">
        <v>202</v>
      </c>
      <c r="N4" s="10" t="e">
        <f>VLOOKUP(D4,#REF!,80,0)</f>
        <v>#REF!</v>
      </c>
      <c r="O4" s="11" t="e">
        <f t="shared" ref="O4:O67" si="11">N4-M4</f>
        <v>#REF!</v>
      </c>
      <c r="P4" s="5" t="s">
        <v>203</v>
      </c>
      <c r="Q4" s="5" t="e">
        <f>VLOOKUP(D4,#REF!,50,0)</f>
        <v>#REF!</v>
      </c>
      <c r="R4" s="5" t="e">
        <f t="shared" ref="R4:R67" si="12">Q4=P4</f>
        <v>#REF!</v>
      </c>
      <c r="S4" s="5" t="s">
        <v>204</v>
      </c>
      <c r="T4" s="5" t="e">
        <f>VLOOKUP(D4,#REF!,21,0)</f>
        <v>#REF!</v>
      </c>
      <c r="U4" s="5" t="e">
        <f t="shared" ref="U4:U67" si="13">T4=S4</f>
        <v>#REF!</v>
      </c>
      <c r="V4" s="5" t="s">
        <v>205</v>
      </c>
      <c r="W4" s="5" t="e">
        <f>VLOOKUP(D4,#REF!,51,0)</f>
        <v>#REF!</v>
      </c>
      <c r="X4" s="5" t="e">
        <f t="shared" ref="X4:X67" si="14">W4=V4</f>
        <v>#REF!</v>
      </c>
      <c r="Y4" s="5" t="s">
        <v>192</v>
      </c>
      <c r="Z4" s="5" t="s">
        <v>193</v>
      </c>
      <c r="AA4" s="14">
        <v>2.06</v>
      </c>
      <c r="AB4" s="14">
        <v>38621</v>
      </c>
      <c r="AC4" s="14" t="e">
        <f>ROUND(VLOOKUP(D4,#REF!,59,0),0)</f>
        <v>#REF!</v>
      </c>
      <c r="AD4" s="14" t="e">
        <f t="shared" ref="AD4:AD11" si="15">AC4-AB4</f>
        <v>#REF!</v>
      </c>
      <c r="AE4" s="14">
        <v>38621</v>
      </c>
      <c r="AF4" s="14">
        <f t="shared" ref="AF4:AF11" si="16">AB4</f>
        <v>38621</v>
      </c>
      <c r="AG4" s="14">
        <f t="shared" ref="AG4:AG11" si="17">AF4-AE4</f>
        <v>0</v>
      </c>
      <c r="AH4" s="14">
        <v>0</v>
      </c>
      <c r="AI4" s="14"/>
      <c r="AJ4" s="14"/>
      <c r="AK4" s="14">
        <v>0</v>
      </c>
      <c r="AL4" s="14"/>
      <c r="AM4" s="14"/>
      <c r="AN4" s="14">
        <v>0</v>
      </c>
      <c r="AO4" s="14">
        <v>0</v>
      </c>
      <c r="AP4" s="14">
        <f>IFERROR(VLOOKUP('Feb for check'!D4,#REF!,15,0),0)</f>
        <v>0</v>
      </c>
      <c r="AQ4" s="14">
        <f t="shared" ref="AQ4:AQ67" si="18">AP4-AO4</f>
        <v>0</v>
      </c>
      <c r="AR4" s="14">
        <v>0</v>
      </c>
      <c r="AS4" s="14">
        <f t="shared" ref="AS4:AS67" si="19">AO4</f>
        <v>0</v>
      </c>
      <c r="AT4" s="14">
        <f t="shared" ref="AT4:AT67" si="20">AS4-AR4</f>
        <v>0</v>
      </c>
      <c r="AU4" s="14">
        <v>0</v>
      </c>
      <c r="AV4" s="14"/>
      <c r="AW4" s="14">
        <v>0</v>
      </c>
      <c r="AX4" s="14"/>
      <c r="AY4" s="14">
        <v>0</v>
      </c>
      <c r="AZ4" s="14"/>
      <c r="BA4" s="14">
        <v>1242.76</v>
      </c>
      <c r="BB4" s="14">
        <f>IFERROR(VLOOKUP(D4,#REF!,2,0),0)</f>
        <v>0</v>
      </c>
      <c r="BC4" s="14" t="e">
        <f>MAX(VLOOKUP(D4,#REF!,13,0)-VLOOKUP(D4,#REF!,14,0),0)</f>
        <v>#REF!</v>
      </c>
      <c r="BD4" s="14">
        <f>IFERROR(VLOOKUP(D4,#REF!,3,0),0)</f>
        <v>0</v>
      </c>
      <c r="BE4" s="14" t="e">
        <f>MAX(VLOOKUP(D4,#REF!,22,0)-VLOOKUP(D4,#REF!,23,0),0)</f>
        <v>#REF!</v>
      </c>
      <c r="BF4" s="14" t="e">
        <f t="shared" ref="BF4:BF67" si="21">BB4*BC4+BD4*BE4</f>
        <v>#REF!</v>
      </c>
      <c r="BG4" s="14" t="e">
        <f t="shared" ref="BG4:BG67" si="22">BF4-BA4</f>
        <v>#REF!</v>
      </c>
      <c r="BH4" s="14">
        <v>0</v>
      </c>
      <c r="BI4" s="14"/>
      <c r="BJ4" s="14"/>
      <c r="BK4" s="14">
        <v>110</v>
      </c>
      <c r="BL4" s="14">
        <f t="shared" ref="BL4:BL67" si="23">ROUNDUP(DI4/(1-0.17)*0.17,0)</f>
        <v>110</v>
      </c>
      <c r="BM4" s="14">
        <f t="shared" ref="BM4:BM67" si="24">BL4-BK4</f>
        <v>0</v>
      </c>
      <c r="BN4" s="14">
        <v>0</v>
      </c>
      <c r="BO4" s="14"/>
      <c r="BP4" s="14"/>
      <c r="BQ4" s="14"/>
      <c r="BR4" s="14">
        <v>0</v>
      </c>
      <c r="BS4" s="14"/>
      <c r="BT4" s="14">
        <v>0</v>
      </c>
      <c r="BU4" s="14"/>
      <c r="BV4" s="14">
        <v>0</v>
      </c>
      <c r="BW4" s="14"/>
      <c r="BX4" s="14">
        <v>39973.760000000002</v>
      </c>
      <c r="BY4" s="14">
        <f t="shared" ref="BY4:BY67" si="25">SUM(AE4,AH4,AN4,AR4,AU4,AY4,BA4,BH4,BK4,BN4,BR4,BT4)</f>
        <v>39973.760000000002</v>
      </c>
      <c r="BZ4" s="14">
        <f t="shared" ref="BZ4:BZ67" si="26">BY4-BX4</f>
        <v>0</v>
      </c>
      <c r="CA4" s="14">
        <v>39863.760000000002</v>
      </c>
      <c r="CB4" s="14">
        <f t="shared" ref="CB4:CB67" si="27">SUM(AE4,AH4,BA4,BH4)</f>
        <v>39863.760000000002</v>
      </c>
      <c r="CC4" s="14">
        <f t="shared" ref="CC4:CC67" si="28">CB4-CA4</f>
        <v>0</v>
      </c>
      <c r="CD4" s="14">
        <v>0</v>
      </c>
      <c r="CE4" s="14"/>
      <c r="CF4" s="14"/>
      <c r="CG4" s="14">
        <v>0</v>
      </c>
      <c r="CH4" s="14"/>
      <c r="CI4" s="14">
        <v>1269.7315000000001</v>
      </c>
      <c r="CJ4" s="14">
        <v>0</v>
      </c>
      <c r="CK4" s="14"/>
      <c r="CL4" s="14">
        <v>0</v>
      </c>
      <c r="CM4" s="14">
        <v>7.4999999999999997E-2</v>
      </c>
      <c r="CN4" s="14">
        <v>0</v>
      </c>
      <c r="CO4" s="14">
        <v>0</v>
      </c>
      <c r="CP4" s="14">
        <v>0</v>
      </c>
      <c r="CQ4" s="14"/>
      <c r="CR4" s="14">
        <v>0</v>
      </c>
      <c r="CS4" s="14"/>
      <c r="CT4" s="14">
        <v>1500</v>
      </c>
      <c r="CU4" s="14">
        <f t="shared" ref="CU4:CU18" si="29">MIN(BX4*5%,1500)</f>
        <v>1500</v>
      </c>
      <c r="CV4" s="14">
        <f t="shared" ref="CV4:CV18" si="30">CU4-CT4</f>
        <v>0</v>
      </c>
      <c r="CW4" s="14">
        <v>0</v>
      </c>
      <c r="CX4" s="14">
        <f t="shared" ref="CX4:CX67" si="31">ROUND(CA4*CJ4,2)</f>
        <v>0</v>
      </c>
      <c r="CY4" s="14">
        <f t="shared" ref="CY4:CY67" si="32">CX4-CW4</f>
        <v>0</v>
      </c>
      <c r="CZ4" s="14">
        <v>1500</v>
      </c>
      <c r="DA4" s="14">
        <f t="shared" ref="DA4:DA67" si="33">MIN(BX4*5%,1500)</f>
        <v>1500</v>
      </c>
      <c r="DB4" s="14">
        <f t="shared" ref="DB4:DB67" si="34">DA4-CZ4</f>
        <v>0</v>
      </c>
      <c r="DC4" s="14">
        <v>1489.78</v>
      </c>
      <c r="DD4" s="14">
        <f>MAX(ROUND(CA4*CM4-CZ4,2),0)</f>
        <v>1489.78</v>
      </c>
      <c r="DE4" s="14">
        <f t="shared" ref="DE4:DE67" si="35">DD4-DC4</f>
        <v>0</v>
      </c>
      <c r="DF4" s="14">
        <v>38473.760000000002</v>
      </c>
      <c r="DG4" s="14">
        <f t="shared" ref="DG4:DG67" si="36">SUM(AE4,AH4,AN4,AR4,AU4,AY4,BA4,BH4,BK4,BN4,BR4,BT4,BV4,-CG4,-CP4,-CT4,-CW4)</f>
        <v>38473.760000000002</v>
      </c>
      <c r="DH4" s="14">
        <f t="shared" ref="DH4:DH67" si="37">DG4-DF4</f>
        <v>0</v>
      </c>
      <c r="DI4" s="14">
        <v>536.21</v>
      </c>
      <c r="DJ4" s="14">
        <f>IFERROR(VLOOKUP(D4,#REF!,2,0),0)</f>
        <v>0</v>
      </c>
      <c r="DK4" s="14">
        <f t="shared" ref="DK4:DK67" si="38">DJ4-DI4</f>
        <v>-536.21</v>
      </c>
      <c r="DL4" s="14">
        <v>39973.760000000002</v>
      </c>
      <c r="DM4" s="14">
        <v>617103.87</v>
      </c>
      <c r="DN4" s="14">
        <v>3218.42</v>
      </c>
      <c r="DO4" s="14">
        <v>1242.76</v>
      </c>
      <c r="DP4" s="14">
        <v>0</v>
      </c>
      <c r="DQ4" s="14">
        <v>39863.760000000002</v>
      </c>
      <c r="DR4" s="14">
        <v>28</v>
      </c>
      <c r="DS4" s="14">
        <v>0</v>
      </c>
      <c r="DT4" s="5" t="s">
        <v>206</v>
      </c>
      <c r="DU4" s="5" t="s">
        <v>195</v>
      </c>
      <c r="DV4" s="5" t="s">
        <v>196</v>
      </c>
      <c r="DW4" s="5" t="s">
        <v>197</v>
      </c>
    </row>
    <row r="5" spans="1:127" ht="16.5">
      <c r="A5" s="5" t="s">
        <v>184</v>
      </c>
      <c r="B5" s="5" t="s">
        <v>147</v>
      </c>
      <c r="C5" s="5" t="s">
        <v>148</v>
      </c>
      <c r="D5" s="5" t="s">
        <v>207</v>
      </c>
      <c r="E5" s="5" t="e">
        <f>VLOOKUP(D5,#REF!,1,0)</f>
        <v>#REF!</v>
      </c>
      <c r="F5" s="5" t="s">
        <v>208</v>
      </c>
      <c r="G5" s="5" t="s">
        <v>209</v>
      </c>
      <c r="H5" s="5" t="str">
        <f t="shared" si="0"/>
        <v>Yuk Kam Ho</v>
      </c>
      <c r="I5" s="5" t="e">
        <f>VLOOKUP(D5,#REF!,9,0)</f>
        <v>#REF!</v>
      </c>
      <c r="J5" s="5" t="e">
        <f t="shared" si="1"/>
        <v>#REF!</v>
      </c>
      <c r="K5" s="5" t="s">
        <v>210</v>
      </c>
      <c r="L5" s="5" t="s">
        <v>151</v>
      </c>
      <c r="M5" s="5" t="s">
        <v>152</v>
      </c>
      <c r="N5" s="10" t="e">
        <f>VLOOKUP(D5,#REF!,80,0)</f>
        <v>#REF!</v>
      </c>
      <c r="O5" s="11" t="e">
        <f t="shared" si="11"/>
        <v>#REF!</v>
      </c>
      <c r="P5" s="5" t="s">
        <v>153</v>
      </c>
      <c r="Q5" s="5" t="e">
        <f>VLOOKUP(D5,#REF!,50,0)</f>
        <v>#REF!</v>
      </c>
      <c r="R5" s="5" t="e">
        <f t="shared" si="12"/>
        <v>#REF!</v>
      </c>
      <c r="S5" s="5" t="s">
        <v>211</v>
      </c>
      <c r="T5" s="5" t="e">
        <f>VLOOKUP(D5,#REF!,21,0)</f>
        <v>#REF!</v>
      </c>
      <c r="U5" s="5" t="e">
        <f t="shared" si="13"/>
        <v>#REF!</v>
      </c>
      <c r="V5" s="5" t="s">
        <v>212</v>
      </c>
      <c r="W5" s="5" t="e">
        <f>VLOOKUP(D5,#REF!,51,0)</f>
        <v>#REF!</v>
      </c>
      <c r="X5" s="5" t="e">
        <f t="shared" si="14"/>
        <v>#REF!</v>
      </c>
      <c r="Y5" s="5" t="s">
        <v>192</v>
      </c>
      <c r="Z5" s="5" t="s">
        <v>193</v>
      </c>
      <c r="AA5" s="14">
        <v>2.89</v>
      </c>
      <c r="AB5" s="14">
        <v>59376.08</v>
      </c>
      <c r="AC5" s="15" t="e">
        <f>ROUND(VLOOKUP(D5,#REF!,59,0),0)</f>
        <v>#REF!</v>
      </c>
      <c r="AD5" s="14" t="e">
        <f t="shared" si="15"/>
        <v>#REF!</v>
      </c>
      <c r="AE5" s="14">
        <v>61105.16</v>
      </c>
      <c r="AF5" s="15" t="e">
        <f>AB5+AB5-VLOOKUP(D5,#REF!,14,0)</f>
        <v>#REF!</v>
      </c>
      <c r="AG5" s="14" t="e">
        <f t="shared" si="17"/>
        <v>#REF!</v>
      </c>
      <c r="AH5" s="14">
        <v>0</v>
      </c>
      <c r="AI5" s="14"/>
      <c r="AJ5" s="14"/>
      <c r="AK5" s="14">
        <v>0</v>
      </c>
      <c r="AL5" s="14"/>
      <c r="AM5" s="14"/>
      <c r="AN5" s="14">
        <v>0</v>
      </c>
      <c r="AO5" s="14">
        <v>0</v>
      </c>
      <c r="AP5" s="14">
        <f>IFERROR(VLOOKUP('Feb for check'!D5,#REF!,15,0),0)</f>
        <v>0</v>
      </c>
      <c r="AQ5" s="14">
        <f t="shared" si="18"/>
        <v>0</v>
      </c>
      <c r="AR5" s="14">
        <v>0</v>
      </c>
      <c r="AS5" s="14">
        <f t="shared" si="19"/>
        <v>0</v>
      </c>
      <c r="AT5" s="14">
        <f t="shared" si="20"/>
        <v>0</v>
      </c>
      <c r="AU5" s="14">
        <v>0</v>
      </c>
      <c r="AV5" s="14"/>
      <c r="AW5" s="14">
        <v>0</v>
      </c>
      <c r="AX5" s="14"/>
      <c r="AY5" s="14">
        <v>0</v>
      </c>
      <c r="AZ5" s="14"/>
      <c r="BA5" s="14">
        <v>0</v>
      </c>
      <c r="BB5" s="14">
        <f>IFERROR(VLOOKUP(D5,#REF!,2,0),0)</f>
        <v>0</v>
      </c>
      <c r="BC5" s="14" t="e">
        <f>MAX(VLOOKUP(D5,#REF!,13,0)-VLOOKUP(D5,#REF!,14,0),0)</f>
        <v>#REF!</v>
      </c>
      <c r="BD5" s="14">
        <f>IFERROR(VLOOKUP(D5,#REF!,3,0),0)</f>
        <v>0</v>
      </c>
      <c r="BE5" s="14" t="e">
        <f>MAX(VLOOKUP(D5,#REF!,22,0)-VLOOKUP(D5,#REF!,23,0),0)</f>
        <v>#REF!</v>
      </c>
      <c r="BF5" s="14" t="e">
        <f t="shared" si="21"/>
        <v>#REF!</v>
      </c>
      <c r="BG5" s="14" t="e">
        <f t="shared" si="22"/>
        <v>#REF!</v>
      </c>
      <c r="BH5" s="14">
        <v>0</v>
      </c>
      <c r="BI5" s="14"/>
      <c r="BJ5" s="14"/>
      <c r="BK5" s="14">
        <v>0</v>
      </c>
      <c r="BL5" s="14">
        <f t="shared" si="23"/>
        <v>0</v>
      </c>
      <c r="BM5" s="14">
        <f t="shared" si="24"/>
        <v>0</v>
      </c>
      <c r="BN5" s="14">
        <v>0</v>
      </c>
      <c r="BO5" s="14"/>
      <c r="BP5" s="14"/>
      <c r="BQ5" s="14"/>
      <c r="BR5" s="14">
        <v>0</v>
      </c>
      <c r="BS5" s="14"/>
      <c r="BT5" s="14">
        <v>0</v>
      </c>
      <c r="BU5" s="14"/>
      <c r="BV5" s="14">
        <v>0</v>
      </c>
      <c r="BW5" s="14"/>
      <c r="BX5" s="14">
        <v>61105.16</v>
      </c>
      <c r="BY5" s="14">
        <f t="shared" si="25"/>
        <v>61105.16</v>
      </c>
      <c r="BZ5" s="14">
        <f t="shared" si="26"/>
        <v>0</v>
      </c>
      <c r="CA5" s="14">
        <v>61105.16</v>
      </c>
      <c r="CB5" s="14">
        <f t="shared" si="27"/>
        <v>61105.16</v>
      </c>
      <c r="CC5" s="14">
        <f t="shared" si="28"/>
        <v>0</v>
      </c>
      <c r="CD5" s="14">
        <v>0</v>
      </c>
      <c r="CE5" s="14"/>
      <c r="CF5" s="14"/>
      <c r="CG5" s="14">
        <v>0</v>
      </c>
      <c r="CH5" s="14"/>
      <c r="CI5" s="14">
        <v>1895.2438</v>
      </c>
      <c r="CJ5" s="14">
        <v>0</v>
      </c>
      <c r="CK5" s="14"/>
      <c r="CL5" s="14">
        <v>0</v>
      </c>
      <c r="CM5" s="14">
        <v>7.4999999999999997E-2</v>
      </c>
      <c r="CN5" s="14">
        <v>0</v>
      </c>
      <c r="CO5" s="14">
        <v>0</v>
      </c>
      <c r="CP5" s="14">
        <v>0</v>
      </c>
      <c r="CQ5" s="14"/>
      <c r="CR5" s="14">
        <v>0</v>
      </c>
      <c r="CS5" s="14"/>
      <c r="CT5" s="14">
        <v>1500</v>
      </c>
      <c r="CU5" s="14">
        <f t="shared" si="29"/>
        <v>1500</v>
      </c>
      <c r="CV5" s="14">
        <f t="shared" si="30"/>
        <v>0</v>
      </c>
      <c r="CW5" s="14">
        <v>0</v>
      </c>
      <c r="CX5" s="14">
        <f t="shared" si="31"/>
        <v>0</v>
      </c>
      <c r="CY5" s="14">
        <f t="shared" si="32"/>
        <v>0</v>
      </c>
      <c r="CZ5" s="14">
        <v>1500</v>
      </c>
      <c r="DA5" s="14">
        <f t="shared" si="33"/>
        <v>1500</v>
      </c>
      <c r="DB5" s="14">
        <f t="shared" si="34"/>
        <v>0</v>
      </c>
      <c r="DC5" s="14">
        <v>3082.89</v>
      </c>
      <c r="DD5" s="14">
        <f t="shared" ref="DD5:DD67" si="39">MAX(ROUND(CA5*CM5-CZ5,2),0)</f>
        <v>3082.89</v>
      </c>
      <c r="DE5" s="14">
        <f t="shared" si="35"/>
        <v>0</v>
      </c>
      <c r="DF5" s="14">
        <v>59605.16</v>
      </c>
      <c r="DG5" s="14">
        <f t="shared" si="36"/>
        <v>59605.16</v>
      </c>
      <c r="DH5" s="14">
        <f t="shared" si="37"/>
        <v>0</v>
      </c>
      <c r="DI5" s="14">
        <v>0</v>
      </c>
      <c r="DJ5" s="14">
        <f>IFERROR(VLOOKUP(D5,#REF!,2,0),0)</f>
        <v>0</v>
      </c>
      <c r="DK5" s="14">
        <f t="shared" si="38"/>
        <v>0</v>
      </c>
      <c r="DL5" s="14">
        <v>61105.16</v>
      </c>
      <c r="DM5" s="14">
        <v>1027658.73</v>
      </c>
      <c r="DN5" s="14">
        <v>4948.01</v>
      </c>
      <c r="DO5" s="14">
        <v>0</v>
      </c>
      <c r="DP5" s="14">
        <v>0</v>
      </c>
      <c r="DQ5" s="14">
        <v>61105.16</v>
      </c>
      <c r="DR5" s="14">
        <v>28</v>
      </c>
      <c r="DS5" s="14">
        <v>0</v>
      </c>
      <c r="DT5" s="5" t="s">
        <v>206</v>
      </c>
      <c r="DU5" s="5" t="s">
        <v>195</v>
      </c>
      <c r="DV5" s="5" t="s">
        <v>196</v>
      </c>
      <c r="DW5" s="5" t="s">
        <v>197</v>
      </c>
    </row>
    <row r="6" spans="1:127" ht="16.5">
      <c r="A6" s="5" t="s">
        <v>184</v>
      </c>
      <c r="B6" s="5" t="s">
        <v>147</v>
      </c>
      <c r="C6" s="5" t="s">
        <v>148</v>
      </c>
      <c r="D6" s="5" t="s">
        <v>213</v>
      </c>
      <c r="E6" s="5" t="e">
        <f>VLOOKUP(D6,#REF!,1,0)</f>
        <v>#REF!</v>
      </c>
      <c r="F6" s="5" t="s">
        <v>214</v>
      </c>
      <c r="G6" s="5" t="s">
        <v>215</v>
      </c>
      <c r="H6" s="5" t="str">
        <f t="shared" si="0"/>
        <v>Wai Wah Mak</v>
      </c>
      <c r="I6" s="5" t="e">
        <f>VLOOKUP(D6,#REF!,9,0)</f>
        <v>#REF!</v>
      </c>
      <c r="J6" s="5" t="e">
        <f t="shared" si="1"/>
        <v>#REF!</v>
      </c>
      <c r="K6" s="5" t="s">
        <v>216</v>
      </c>
      <c r="L6" s="5" t="s">
        <v>151</v>
      </c>
      <c r="M6" s="5" t="s">
        <v>217</v>
      </c>
      <c r="N6" s="10" t="e">
        <f>VLOOKUP(D6,#REF!,80,0)</f>
        <v>#REF!</v>
      </c>
      <c r="O6" s="11" t="e">
        <f t="shared" si="11"/>
        <v>#REF!</v>
      </c>
      <c r="P6" s="5" t="s">
        <v>218</v>
      </c>
      <c r="Q6" s="5" t="e">
        <f>VLOOKUP(D6,#REF!,50,0)</f>
        <v>#REF!</v>
      </c>
      <c r="R6" s="5" t="e">
        <f t="shared" si="12"/>
        <v>#REF!</v>
      </c>
      <c r="S6" s="5" t="s">
        <v>219</v>
      </c>
      <c r="T6" s="5" t="e">
        <f>VLOOKUP(D6,#REF!,21,0)</f>
        <v>#REF!</v>
      </c>
      <c r="U6" s="5" t="e">
        <f t="shared" si="13"/>
        <v>#REF!</v>
      </c>
      <c r="V6" s="5" t="s">
        <v>220</v>
      </c>
      <c r="W6" s="5" t="e">
        <f>VLOOKUP(D6,#REF!,51,0)</f>
        <v>#REF!</v>
      </c>
      <c r="X6" s="5" t="e">
        <f t="shared" si="14"/>
        <v>#REF!</v>
      </c>
      <c r="Y6" s="5" t="s">
        <v>192</v>
      </c>
      <c r="Z6" s="5" t="s">
        <v>193</v>
      </c>
      <c r="AA6" s="14">
        <v>20.52</v>
      </c>
      <c r="AB6" s="14">
        <v>114700</v>
      </c>
      <c r="AC6" s="14" t="e">
        <f>ROUND(VLOOKUP(D6,#REF!,59,0),0)</f>
        <v>#REF!</v>
      </c>
      <c r="AD6" s="14" t="e">
        <f t="shared" si="15"/>
        <v>#REF!</v>
      </c>
      <c r="AE6" s="14">
        <v>114700</v>
      </c>
      <c r="AF6" s="14">
        <f t="shared" si="16"/>
        <v>114700</v>
      </c>
      <c r="AG6" s="14">
        <f t="shared" si="17"/>
        <v>0</v>
      </c>
      <c r="AH6" s="14">
        <v>0</v>
      </c>
      <c r="AI6" s="14"/>
      <c r="AJ6" s="14"/>
      <c r="AK6" s="14">
        <v>0</v>
      </c>
      <c r="AL6" s="14"/>
      <c r="AM6" s="14"/>
      <c r="AN6" s="14">
        <v>0</v>
      </c>
      <c r="AO6" s="14">
        <v>0</v>
      </c>
      <c r="AP6" s="14">
        <f>IFERROR(VLOOKUP('Feb for check'!D6,#REF!,15,0),0)</f>
        <v>0</v>
      </c>
      <c r="AQ6" s="14">
        <f t="shared" si="18"/>
        <v>0</v>
      </c>
      <c r="AR6" s="14">
        <v>0</v>
      </c>
      <c r="AS6" s="14">
        <f t="shared" si="19"/>
        <v>0</v>
      </c>
      <c r="AT6" s="14">
        <f t="shared" si="20"/>
        <v>0</v>
      </c>
      <c r="AU6" s="14">
        <v>0</v>
      </c>
      <c r="AV6" s="14"/>
      <c r="AW6" s="14">
        <v>0</v>
      </c>
      <c r="AX6" s="14"/>
      <c r="AY6" s="14">
        <v>0</v>
      </c>
      <c r="AZ6" s="14"/>
      <c r="BA6" s="14">
        <v>0</v>
      </c>
      <c r="BB6" s="14">
        <f>IFERROR(VLOOKUP(D6,#REF!,2,0),0)</f>
        <v>0</v>
      </c>
      <c r="BC6" s="14" t="e">
        <f>MAX(VLOOKUP(D6,#REF!,13,0)-VLOOKUP(D6,#REF!,14,0),0)</f>
        <v>#REF!</v>
      </c>
      <c r="BD6" s="14">
        <f>IFERROR(VLOOKUP(D6,#REF!,3,0),0)</f>
        <v>0</v>
      </c>
      <c r="BE6" s="14" t="e">
        <f>MAX(VLOOKUP(D6,#REF!,22,0)-VLOOKUP(D6,#REF!,23,0),0)</f>
        <v>#REF!</v>
      </c>
      <c r="BF6" s="14" t="e">
        <f t="shared" si="21"/>
        <v>#REF!</v>
      </c>
      <c r="BG6" s="14" t="e">
        <f t="shared" si="22"/>
        <v>#REF!</v>
      </c>
      <c r="BH6" s="14">
        <v>0</v>
      </c>
      <c r="BI6" s="14"/>
      <c r="BJ6" s="14"/>
      <c r="BK6" s="14">
        <v>1834</v>
      </c>
      <c r="BL6" s="14">
        <f t="shared" si="23"/>
        <v>1834</v>
      </c>
      <c r="BM6" s="14">
        <f t="shared" si="24"/>
        <v>0</v>
      </c>
      <c r="BN6" s="14">
        <v>0</v>
      </c>
      <c r="BO6" s="14"/>
      <c r="BP6" s="14"/>
      <c r="BQ6" s="14"/>
      <c r="BR6" s="14">
        <v>0</v>
      </c>
      <c r="BS6" s="14"/>
      <c r="BT6" s="14">
        <v>0</v>
      </c>
      <c r="BU6" s="14"/>
      <c r="BV6" s="14">
        <v>0</v>
      </c>
      <c r="BW6" s="14"/>
      <c r="BX6" s="14">
        <v>116534</v>
      </c>
      <c r="BY6" s="14">
        <f t="shared" si="25"/>
        <v>116534</v>
      </c>
      <c r="BZ6" s="14">
        <f t="shared" si="26"/>
        <v>0</v>
      </c>
      <c r="CA6" s="14">
        <v>114700</v>
      </c>
      <c r="CB6" s="14">
        <f t="shared" si="27"/>
        <v>114700</v>
      </c>
      <c r="CC6" s="14">
        <f t="shared" si="28"/>
        <v>0</v>
      </c>
      <c r="CD6" s="14">
        <v>0</v>
      </c>
      <c r="CE6" s="14"/>
      <c r="CF6" s="14"/>
      <c r="CG6" s="14">
        <v>0</v>
      </c>
      <c r="CH6" s="14"/>
      <c r="CI6" s="14">
        <v>3770.9589000000001</v>
      </c>
      <c r="CJ6" s="14">
        <v>0.05</v>
      </c>
      <c r="CK6" s="14"/>
      <c r="CL6" s="14">
        <v>0</v>
      </c>
      <c r="CM6" s="14">
        <v>0.1</v>
      </c>
      <c r="CN6" s="14">
        <v>0</v>
      </c>
      <c r="CO6" s="14">
        <v>0</v>
      </c>
      <c r="CP6" s="14">
        <v>0</v>
      </c>
      <c r="CQ6" s="14"/>
      <c r="CR6" s="14">
        <v>0</v>
      </c>
      <c r="CS6" s="14"/>
      <c r="CT6" s="14">
        <v>1500</v>
      </c>
      <c r="CU6" s="14">
        <f t="shared" si="29"/>
        <v>1500</v>
      </c>
      <c r="CV6" s="14">
        <f t="shared" si="30"/>
        <v>0</v>
      </c>
      <c r="CW6" s="14">
        <v>5735</v>
      </c>
      <c r="CX6" s="14">
        <f t="shared" si="31"/>
        <v>5735</v>
      </c>
      <c r="CY6" s="14">
        <f t="shared" si="32"/>
        <v>0</v>
      </c>
      <c r="CZ6" s="14">
        <v>1500</v>
      </c>
      <c r="DA6" s="14">
        <f t="shared" si="33"/>
        <v>1500</v>
      </c>
      <c r="DB6" s="14">
        <f t="shared" si="34"/>
        <v>0</v>
      </c>
      <c r="DC6" s="14">
        <v>9970</v>
      </c>
      <c r="DD6" s="14">
        <f t="shared" si="39"/>
        <v>9970</v>
      </c>
      <c r="DE6" s="14">
        <f t="shared" si="35"/>
        <v>0</v>
      </c>
      <c r="DF6" s="14">
        <v>109299</v>
      </c>
      <c r="DG6" s="14">
        <f t="shared" si="36"/>
        <v>109299</v>
      </c>
      <c r="DH6" s="14">
        <f t="shared" si="37"/>
        <v>0</v>
      </c>
      <c r="DI6" s="14">
        <v>8951.7000000000007</v>
      </c>
      <c r="DJ6" s="14">
        <f>IFERROR(VLOOKUP(D6,#REF!,2,0),0)</f>
        <v>0</v>
      </c>
      <c r="DK6" s="14">
        <f t="shared" si="38"/>
        <v>-8951.7000000000007</v>
      </c>
      <c r="DL6" s="14">
        <v>116534</v>
      </c>
      <c r="DM6" s="14">
        <v>2098915.4500000002</v>
      </c>
      <c r="DN6" s="14">
        <v>9558.33</v>
      </c>
      <c r="DO6" s="14">
        <v>0</v>
      </c>
      <c r="DP6" s="14">
        <v>0</v>
      </c>
      <c r="DQ6" s="14">
        <v>114700</v>
      </c>
      <c r="DR6" s="14">
        <v>28</v>
      </c>
      <c r="DS6" s="14">
        <v>0</v>
      </c>
      <c r="DT6" s="5" t="s">
        <v>206</v>
      </c>
      <c r="DU6" s="5" t="s">
        <v>195</v>
      </c>
      <c r="DV6" s="5" t="s">
        <v>196</v>
      </c>
      <c r="DW6" s="5" t="s">
        <v>197</v>
      </c>
    </row>
    <row r="7" spans="1:127" ht="16.5">
      <c r="A7" s="5" t="s">
        <v>184</v>
      </c>
      <c r="B7" s="5" t="s">
        <v>147</v>
      </c>
      <c r="C7" s="5" t="s">
        <v>148</v>
      </c>
      <c r="D7" s="5" t="s">
        <v>221</v>
      </c>
      <c r="E7" s="5" t="e">
        <f>VLOOKUP(D7,#REF!,1,0)</f>
        <v>#REF!</v>
      </c>
      <c r="F7" s="5" t="s">
        <v>222</v>
      </c>
      <c r="G7" s="5" t="s">
        <v>223</v>
      </c>
      <c r="H7" s="5" t="str">
        <f t="shared" si="0"/>
        <v>PO KIN JONATHAN Lam</v>
      </c>
      <c r="I7" s="5" t="e">
        <f>VLOOKUP(D7,#REF!,9,0)</f>
        <v>#REF!</v>
      </c>
      <c r="J7" s="5" t="e">
        <f t="shared" si="1"/>
        <v>#REF!</v>
      </c>
      <c r="K7" s="5" t="s">
        <v>224</v>
      </c>
      <c r="L7" s="5" t="s">
        <v>151</v>
      </c>
      <c r="M7" s="5" t="s">
        <v>225</v>
      </c>
      <c r="N7" s="10" t="e">
        <f>VLOOKUP(D7,#REF!,80,0)</f>
        <v>#REF!</v>
      </c>
      <c r="O7" s="11" t="e">
        <f t="shared" si="11"/>
        <v>#REF!</v>
      </c>
      <c r="P7" s="5" t="s">
        <v>226</v>
      </c>
      <c r="Q7" s="5" t="e">
        <f>VLOOKUP(D7,#REF!,50,0)</f>
        <v>#REF!</v>
      </c>
      <c r="R7" s="5" t="e">
        <f t="shared" si="12"/>
        <v>#REF!</v>
      </c>
      <c r="S7" s="5" t="s">
        <v>227</v>
      </c>
      <c r="T7" s="5" t="e">
        <f>VLOOKUP(D7,#REF!,21,0)</f>
        <v>#REF!</v>
      </c>
      <c r="U7" s="5" t="e">
        <f t="shared" si="13"/>
        <v>#REF!</v>
      </c>
      <c r="V7" s="5" t="s">
        <v>228</v>
      </c>
      <c r="W7" s="5" t="e">
        <f>VLOOKUP(D7,#REF!,51,0)</f>
        <v>#REF!</v>
      </c>
      <c r="X7" s="5" t="e">
        <f t="shared" si="14"/>
        <v>#REF!</v>
      </c>
      <c r="Y7" s="5" t="s">
        <v>192</v>
      </c>
      <c r="Z7" s="5" t="s">
        <v>193</v>
      </c>
      <c r="AA7" s="14">
        <v>0.42</v>
      </c>
      <c r="AB7" s="14">
        <v>26520</v>
      </c>
      <c r="AC7" s="14" t="e">
        <f>ROUND(VLOOKUP(D7,#REF!,59,0),0)</f>
        <v>#REF!</v>
      </c>
      <c r="AD7" s="14" t="e">
        <f t="shared" si="15"/>
        <v>#REF!</v>
      </c>
      <c r="AE7" s="14">
        <v>26520</v>
      </c>
      <c r="AF7" s="14">
        <f t="shared" si="16"/>
        <v>26520</v>
      </c>
      <c r="AG7" s="14">
        <f t="shared" si="17"/>
        <v>0</v>
      </c>
      <c r="AH7" s="14">
        <v>0</v>
      </c>
      <c r="AI7" s="14"/>
      <c r="AJ7" s="14"/>
      <c r="AK7" s="14">
        <v>0</v>
      </c>
      <c r="AL7" s="14"/>
      <c r="AM7" s="14"/>
      <c r="AN7" s="14">
        <v>0</v>
      </c>
      <c r="AO7" s="14">
        <v>0</v>
      </c>
      <c r="AP7" s="14">
        <f>IFERROR(VLOOKUP('Feb for check'!D7,#REF!,15,0),0)</f>
        <v>0</v>
      </c>
      <c r="AQ7" s="14">
        <f t="shared" si="18"/>
        <v>0</v>
      </c>
      <c r="AR7" s="14">
        <v>0</v>
      </c>
      <c r="AS7" s="14">
        <f t="shared" si="19"/>
        <v>0</v>
      </c>
      <c r="AT7" s="14">
        <f t="shared" si="20"/>
        <v>0</v>
      </c>
      <c r="AU7" s="14">
        <v>0</v>
      </c>
      <c r="AV7" s="14"/>
      <c r="AW7" s="14">
        <v>0</v>
      </c>
      <c r="AX7" s="14"/>
      <c r="AY7" s="14">
        <v>0</v>
      </c>
      <c r="AZ7" s="14"/>
      <c r="BA7" s="14">
        <v>0</v>
      </c>
      <c r="BB7" s="14">
        <f>IFERROR(VLOOKUP(D7,#REF!,2,0),0)</f>
        <v>0</v>
      </c>
      <c r="BC7" s="14" t="e">
        <f>MAX(VLOOKUP(D7,#REF!,13,0)-VLOOKUP(D7,#REF!,14,0),0)</f>
        <v>#REF!</v>
      </c>
      <c r="BD7" s="14">
        <f>IFERROR(VLOOKUP(D7,#REF!,3,0),0)</f>
        <v>0</v>
      </c>
      <c r="BE7" s="14" t="e">
        <f>MAX(VLOOKUP(D7,#REF!,22,0)-VLOOKUP(D7,#REF!,23,0),0)</f>
        <v>#REF!</v>
      </c>
      <c r="BF7" s="14" t="e">
        <f t="shared" si="21"/>
        <v>#REF!</v>
      </c>
      <c r="BG7" s="14" t="e">
        <f t="shared" si="22"/>
        <v>#REF!</v>
      </c>
      <c r="BH7" s="14">
        <v>0</v>
      </c>
      <c r="BI7" s="14"/>
      <c r="BJ7" s="14"/>
      <c r="BK7" s="14">
        <v>0</v>
      </c>
      <c r="BL7" s="14">
        <f t="shared" si="23"/>
        <v>0</v>
      </c>
      <c r="BM7" s="14">
        <f t="shared" si="24"/>
        <v>0</v>
      </c>
      <c r="BN7" s="14">
        <v>0</v>
      </c>
      <c r="BO7" s="14"/>
      <c r="BP7" s="14"/>
      <c r="BQ7" s="14"/>
      <c r="BR7" s="14">
        <v>0</v>
      </c>
      <c r="BS7" s="14"/>
      <c r="BT7" s="14">
        <v>0</v>
      </c>
      <c r="BU7" s="14"/>
      <c r="BV7" s="14">
        <v>0</v>
      </c>
      <c r="BW7" s="14"/>
      <c r="BX7" s="14">
        <v>26520</v>
      </c>
      <c r="BY7" s="14">
        <f t="shared" si="25"/>
        <v>26520</v>
      </c>
      <c r="BZ7" s="14">
        <f t="shared" si="26"/>
        <v>0</v>
      </c>
      <c r="CA7" s="14">
        <v>26520</v>
      </c>
      <c r="CB7" s="14">
        <f t="shared" si="27"/>
        <v>26520</v>
      </c>
      <c r="CC7" s="14">
        <f t="shared" si="28"/>
        <v>0</v>
      </c>
      <c r="CD7" s="14">
        <v>0</v>
      </c>
      <c r="CE7" s="14"/>
      <c r="CF7" s="14"/>
      <c r="CG7" s="14">
        <v>0</v>
      </c>
      <c r="CH7" s="14"/>
      <c r="CI7" s="14">
        <v>871.8904</v>
      </c>
      <c r="CJ7" s="14">
        <v>0</v>
      </c>
      <c r="CK7" s="14"/>
      <c r="CL7" s="14">
        <v>0</v>
      </c>
      <c r="CM7" s="14">
        <v>7.4999999999999997E-2</v>
      </c>
      <c r="CN7" s="14">
        <v>0</v>
      </c>
      <c r="CO7" s="14">
        <v>0</v>
      </c>
      <c r="CP7" s="14">
        <v>0</v>
      </c>
      <c r="CQ7" s="14"/>
      <c r="CR7" s="14">
        <v>0</v>
      </c>
      <c r="CS7" s="14"/>
      <c r="CT7" s="14">
        <v>1326</v>
      </c>
      <c r="CU7" s="14">
        <f t="shared" si="29"/>
        <v>1326</v>
      </c>
      <c r="CV7" s="14">
        <f t="shared" si="30"/>
        <v>0</v>
      </c>
      <c r="CW7" s="14">
        <v>0</v>
      </c>
      <c r="CX7" s="14">
        <f t="shared" si="31"/>
        <v>0</v>
      </c>
      <c r="CY7" s="14">
        <f t="shared" si="32"/>
        <v>0</v>
      </c>
      <c r="CZ7" s="14">
        <v>1326</v>
      </c>
      <c r="DA7" s="14">
        <f t="shared" si="33"/>
        <v>1326</v>
      </c>
      <c r="DB7" s="14">
        <f t="shared" si="34"/>
        <v>0</v>
      </c>
      <c r="DC7" s="14">
        <v>663</v>
      </c>
      <c r="DD7" s="14">
        <f t="shared" si="39"/>
        <v>663</v>
      </c>
      <c r="DE7" s="14">
        <f t="shared" si="35"/>
        <v>0</v>
      </c>
      <c r="DF7" s="14">
        <v>25194</v>
      </c>
      <c r="DG7" s="14">
        <f t="shared" si="36"/>
        <v>25194</v>
      </c>
      <c r="DH7" s="14">
        <f t="shared" si="37"/>
        <v>0</v>
      </c>
      <c r="DI7" s="14">
        <v>0</v>
      </c>
      <c r="DJ7" s="14">
        <f>IFERROR(VLOOKUP(D7,#REF!,2,0),0)</f>
        <v>0</v>
      </c>
      <c r="DK7" s="14">
        <f t="shared" si="38"/>
        <v>0</v>
      </c>
      <c r="DL7" s="14">
        <v>26520</v>
      </c>
      <c r="DM7" s="14">
        <v>140697.01999999999</v>
      </c>
      <c r="DN7" s="14">
        <v>2210</v>
      </c>
      <c r="DO7" s="14">
        <v>0</v>
      </c>
      <c r="DP7" s="14">
        <v>0</v>
      </c>
      <c r="DQ7" s="14">
        <v>26520</v>
      </c>
      <c r="DR7" s="14">
        <v>28</v>
      </c>
      <c r="DS7" s="14">
        <v>0</v>
      </c>
      <c r="DT7" s="5" t="s">
        <v>206</v>
      </c>
      <c r="DU7" s="5" t="s">
        <v>195</v>
      </c>
      <c r="DV7" s="5" t="s">
        <v>196</v>
      </c>
      <c r="DW7" s="5" t="s">
        <v>197</v>
      </c>
    </row>
    <row r="8" spans="1:127" ht="16.5">
      <c r="A8" s="5" t="s">
        <v>184</v>
      </c>
      <c r="B8" s="5" t="s">
        <v>147</v>
      </c>
      <c r="C8" s="5" t="s">
        <v>148</v>
      </c>
      <c r="D8" s="5" t="s">
        <v>229</v>
      </c>
      <c r="E8" s="5" t="e">
        <f>VLOOKUP(D8,#REF!,1,0)</f>
        <v>#REF!</v>
      </c>
      <c r="F8" s="5" t="s">
        <v>230</v>
      </c>
      <c r="G8" s="5" t="s">
        <v>231</v>
      </c>
      <c r="H8" s="5" t="str">
        <f t="shared" si="0"/>
        <v>Wing Yan Rene Chau</v>
      </c>
      <c r="I8" s="5" t="e">
        <f>VLOOKUP(D8,#REF!,9,0)</f>
        <v>#REF!</v>
      </c>
      <c r="J8" s="5" t="e">
        <f t="shared" si="1"/>
        <v>#REF!</v>
      </c>
      <c r="K8" s="5" t="s">
        <v>232</v>
      </c>
      <c r="L8" s="5" t="s">
        <v>151</v>
      </c>
      <c r="M8" s="5" t="s">
        <v>233</v>
      </c>
      <c r="N8" s="10" t="e">
        <f>VLOOKUP(D8,#REF!,80,0)</f>
        <v>#REF!</v>
      </c>
      <c r="O8" s="11" t="e">
        <f t="shared" si="11"/>
        <v>#REF!</v>
      </c>
      <c r="P8" s="5" t="s">
        <v>234</v>
      </c>
      <c r="Q8" s="5" t="e">
        <f>VLOOKUP(D8,#REF!,50,0)</f>
        <v>#REF!</v>
      </c>
      <c r="R8" s="5" t="e">
        <f t="shared" si="12"/>
        <v>#REF!</v>
      </c>
      <c r="S8" s="5" t="s">
        <v>235</v>
      </c>
      <c r="T8" s="5" t="e">
        <f>VLOOKUP(D8,#REF!,21,0)</f>
        <v>#REF!</v>
      </c>
      <c r="U8" s="5" t="e">
        <f t="shared" si="13"/>
        <v>#REF!</v>
      </c>
      <c r="V8" s="5" t="s">
        <v>236</v>
      </c>
      <c r="W8" s="5" t="e">
        <f>VLOOKUP(D8,#REF!,51,0)</f>
        <v>#REF!</v>
      </c>
      <c r="X8" s="5" t="e">
        <f t="shared" si="14"/>
        <v>#REF!</v>
      </c>
      <c r="Y8" s="5" t="s">
        <v>192</v>
      </c>
      <c r="Z8" s="5" t="s">
        <v>193</v>
      </c>
      <c r="AA8" s="14">
        <v>6.58</v>
      </c>
      <c r="AB8" s="14">
        <v>130325</v>
      </c>
      <c r="AC8" s="14" t="e">
        <f>ROUND(VLOOKUP(D8,#REF!,59,0),0)</f>
        <v>#REF!</v>
      </c>
      <c r="AD8" s="14" t="e">
        <f t="shared" si="15"/>
        <v>#REF!</v>
      </c>
      <c r="AE8" s="14">
        <v>130325</v>
      </c>
      <c r="AF8" s="14">
        <f t="shared" si="16"/>
        <v>130325</v>
      </c>
      <c r="AG8" s="14">
        <f t="shared" si="17"/>
        <v>0</v>
      </c>
      <c r="AH8" s="14">
        <v>0</v>
      </c>
      <c r="AI8" s="14"/>
      <c r="AJ8" s="14"/>
      <c r="AK8" s="14">
        <v>0</v>
      </c>
      <c r="AL8" s="14"/>
      <c r="AM8" s="14"/>
      <c r="AN8" s="14">
        <v>0</v>
      </c>
      <c r="AO8" s="14">
        <v>0</v>
      </c>
      <c r="AP8" s="14">
        <f>IFERROR(VLOOKUP('Feb for check'!D8,#REF!,15,0),0)</f>
        <v>0</v>
      </c>
      <c r="AQ8" s="14">
        <f t="shared" si="18"/>
        <v>0</v>
      </c>
      <c r="AR8" s="14">
        <v>0</v>
      </c>
      <c r="AS8" s="14">
        <f t="shared" si="19"/>
        <v>0</v>
      </c>
      <c r="AT8" s="14">
        <f t="shared" si="20"/>
        <v>0</v>
      </c>
      <c r="AU8" s="14">
        <v>0</v>
      </c>
      <c r="AV8" s="14"/>
      <c r="AW8" s="14">
        <v>0</v>
      </c>
      <c r="AX8" s="14"/>
      <c r="AY8" s="14">
        <v>0</v>
      </c>
      <c r="AZ8" s="14"/>
      <c r="BA8" s="14">
        <v>0</v>
      </c>
      <c r="BB8" s="14">
        <f>IFERROR(VLOOKUP(D8,#REF!,2,0),0)</f>
        <v>0</v>
      </c>
      <c r="BC8" s="14" t="e">
        <f>MAX(VLOOKUP(D8,#REF!,13,0)-VLOOKUP(D8,#REF!,14,0),0)</f>
        <v>#REF!</v>
      </c>
      <c r="BD8" s="14">
        <f>IFERROR(VLOOKUP(D8,#REF!,3,0),0)</f>
        <v>0</v>
      </c>
      <c r="BE8" s="14" t="e">
        <f>MAX(VLOOKUP(D8,#REF!,22,0)-VLOOKUP(D8,#REF!,23,0),0)</f>
        <v>#REF!</v>
      </c>
      <c r="BF8" s="14" t="e">
        <f t="shared" si="21"/>
        <v>#REF!</v>
      </c>
      <c r="BG8" s="14" t="e">
        <f t="shared" si="22"/>
        <v>#REF!</v>
      </c>
      <c r="BH8" s="14">
        <v>0</v>
      </c>
      <c r="BI8" s="14"/>
      <c r="BJ8" s="14"/>
      <c r="BK8" s="14">
        <v>0</v>
      </c>
      <c r="BL8" s="14">
        <f t="shared" si="23"/>
        <v>0</v>
      </c>
      <c r="BM8" s="14">
        <f t="shared" si="24"/>
        <v>0</v>
      </c>
      <c r="BN8" s="14">
        <v>0</v>
      </c>
      <c r="BO8" s="14"/>
      <c r="BP8" s="14"/>
      <c r="BQ8" s="14"/>
      <c r="BR8" s="14">
        <v>0</v>
      </c>
      <c r="BS8" s="14"/>
      <c r="BT8" s="14">
        <v>0</v>
      </c>
      <c r="BU8" s="14"/>
      <c r="BV8" s="14">
        <v>0</v>
      </c>
      <c r="BW8" s="14"/>
      <c r="BX8" s="14">
        <v>130325</v>
      </c>
      <c r="BY8" s="14">
        <f t="shared" si="25"/>
        <v>130325</v>
      </c>
      <c r="BZ8" s="14">
        <f t="shared" si="26"/>
        <v>0</v>
      </c>
      <c r="CA8" s="14">
        <v>130325</v>
      </c>
      <c r="CB8" s="14">
        <f t="shared" si="27"/>
        <v>130325</v>
      </c>
      <c r="CC8" s="14">
        <f t="shared" si="28"/>
        <v>0</v>
      </c>
      <c r="CD8" s="14">
        <v>0</v>
      </c>
      <c r="CE8" s="14"/>
      <c r="CF8" s="14"/>
      <c r="CG8" s="14">
        <v>0</v>
      </c>
      <c r="CH8" s="14"/>
      <c r="CI8" s="14">
        <v>4284.6575000000003</v>
      </c>
      <c r="CJ8" s="14">
        <v>0</v>
      </c>
      <c r="CK8" s="14"/>
      <c r="CL8" s="14">
        <v>0</v>
      </c>
      <c r="CM8" s="14">
        <v>7.4999999999999997E-2</v>
      </c>
      <c r="CN8" s="14">
        <v>0</v>
      </c>
      <c r="CO8" s="14">
        <v>0</v>
      </c>
      <c r="CP8" s="14">
        <v>0</v>
      </c>
      <c r="CQ8" s="14"/>
      <c r="CR8" s="14">
        <v>0</v>
      </c>
      <c r="CS8" s="14"/>
      <c r="CT8" s="14">
        <v>1500</v>
      </c>
      <c r="CU8" s="14">
        <f t="shared" si="29"/>
        <v>1500</v>
      </c>
      <c r="CV8" s="14">
        <f t="shared" si="30"/>
        <v>0</v>
      </c>
      <c r="CW8" s="14">
        <v>0</v>
      </c>
      <c r="CX8" s="14">
        <f t="shared" si="31"/>
        <v>0</v>
      </c>
      <c r="CY8" s="14">
        <f t="shared" si="32"/>
        <v>0</v>
      </c>
      <c r="CZ8" s="14">
        <v>1500</v>
      </c>
      <c r="DA8" s="14">
        <f t="shared" si="33"/>
        <v>1500</v>
      </c>
      <c r="DB8" s="14">
        <f t="shared" si="34"/>
        <v>0</v>
      </c>
      <c r="DC8" s="14">
        <v>8274.3799999999992</v>
      </c>
      <c r="DD8" s="14">
        <f t="shared" si="39"/>
        <v>8274.3799999999992</v>
      </c>
      <c r="DE8" s="14">
        <f t="shared" si="35"/>
        <v>0</v>
      </c>
      <c r="DF8" s="14">
        <v>128825</v>
      </c>
      <c r="DG8" s="14">
        <f t="shared" si="36"/>
        <v>128825</v>
      </c>
      <c r="DH8" s="14">
        <f t="shared" si="37"/>
        <v>0</v>
      </c>
      <c r="DI8" s="14">
        <v>0</v>
      </c>
      <c r="DJ8" s="14">
        <f>IFERROR(VLOOKUP(D8,#REF!,2,0),0)</f>
        <v>0</v>
      </c>
      <c r="DK8" s="14">
        <f t="shared" si="38"/>
        <v>0</v>
      </c>
      <c r="DL8" s="14">
        <v>130325</v>
      </c>
      <c r="DM8" s="14">
        <v>2325997.02</v>
      </c>
      <c r="DN8" s="14">
        <v>10860.42</v>
      </c>
      <c r="DO8" s="14">
        <v>0</v>
      </c>
      <c r="DP8" s="14">
        <v>0</v>
      </c>
      <c r="DQ8" s="14">
        <v>130325</v>
      </c>
      <c r="DR8" s="14">
        <v>28</v>
      </c>
      <c r="DS8" s="14">
        <v>0</v>
      </c>
      <c r="DT8" s="5" t="s">
        <v>206</v>
      </c>
      <c r="DU8" s="5" t="s">
        <v>195</v>
      </c>
      <c r="DV8" s="5" t="s">
        <v>196</v>
      </c>
      <c r="DW8" s="5" t="s">
        <v>197</v>
      </c>
    </row>
    <row r="9" spans="1:127" ht="16.5">
      <c r="A9" s="5" t="s">
        <v>184</v>
      </c>
      <c r="B9" s="5" t="s">
        <v>147</v>
      </c>
      <c r="C9" s="5" t="s">
        <v>148</v>
      </c>
      <c r="D9" s="5" t="s">
        <v>237</v>
      </c>
      <c r="E9" s="5" t="e">
        <f>VLOOKUP(D9,#REF!,1,0)</f>
        <v>#REF!</v>
      </c>
      <c r="F9" s="5" t="s">
        <v>238</v>
      </c>
      <c r="G9" s="5" t="s">
        <v>239</v>
      </c>
      <c r="H9" s="5" t="str">
        <f t="shared" si="0"/>
        <v>Kin Yue Francis Leung</v>
      </c>
      <c r="I9" s="5" t="e">
        <f>VLOOKUP(D9,#REF!,9,0)</f>
        <v>#REF!</v>
      </c>
      <c r="J9" s="5" t="e">
        <f t="shared" si="1"/>
        <v>#REF!</v>
      </c>
      <c r="K9" s="5" t="s">
        <v>240</v>
      </c>
      <c r="L9" s="5" t="s">
        <v>151</v>
      </c>
      <c r="M9" s="5" t="s">
        <v>241</v>
      </c>
      <c r="N9" s="10" t="e">
        <f>VLOOKUP(D9,#REF!,80,0)</f>
        <v>#REF!</v>
      </c>
      <c r="O9" s="11" t="e">
        <f t="shared" si="11"/>
        <v>#REF!</v>
      </c>
      <c r="P9" s="5" t="s">
        <v>203</v>
      </c>
      <c r="Q9" s="5" t="e">
        <f>VLOOKUP(D9,#REF!,50,0)</f>
        <v>#REF!</v>
      </c>
      <c r="R9" s="5" t="e">
        <f t="shared" si="12"/>
        <v>#REF!</v>
      </c>
      <c r="S9" s="5" t="s">
        <v>242</v>
      </c>
      <c r="T9" s="5" t="e">
        <f>VLOOKUP(D9,#REF!,21,0)</f>
        <v>#REF!</v>
      </c>
      <c r="U9" s="5" t="e">
        <f t="shared" si="13"/>
        <v>#REF!</v>
      </c>
      <c r="V9" s="5" t="s">
        <v>205</v>
      </c>
      <c r="W9" s="5" t="e">
        <f>VLOOKUP(D9,#REF!,51,0)</f>
        <v>#REF!</v>
      </c>
      <c r="X9" s="5" t="e">
        <f t="shared" si="14"/>
        <v>#REF!</v>
      </c>
      <c r="Y9" s="5" t="s">
        <v>192</v>
      </c>
      <c r="Z9" s="5" t="s">
        <v>193</v>
      </c>
      <c r="AA9" s="14">
        <v>10.52</v>
      </c>
      <c r="AB9" s="14">
        <v>97000</v>
      </c>
      <c r="AC9" s="14" t="e">
        <f>ROUND(VLOOKUP(D9,#REF!,59,0),0)</f>
        <v>#REF!</v>
      </c>
      <c r="AD9" s="14" t="e">
        <f t="shared" si="15"/>
        <v>#REF!</v>
      </c>
      <c r="AE9" s="14">
        <v>97000</v>
      </c>
      <c r="AF9" s="14">
        <f t="shared" si="16"/>
        <v>97000</v>
      </c>
      <c r="AG9" s="14">
        <f t="shared" si="17"/>
        <v>0</v>
      </c>
      <c r="AH9" s="14">
        <v>0</v>
      </c>
      <c r="AI9" s="14"/>
      <c r="AJ9" s="14"/>
      <c r="AK9" s="14">
        <v>0</v>
      </c>
      <c r="AL9" s="14"/>
      <c r="AM9" s="14"/>
      <c r="AN9" s="14">
        <v>0</v>
      </c>
      <c r="AO9" s="14">
        <v>0</v>
      </c>
      <c r="AP9" s="14">
        <f>IFERROR(VLOOKUP('Feb for check'!D9,#REF!,15,0),0)</f>
        <v>0</v>
      </c>
      <c r="AQ9" s="14">
        <f t="shared" si="18"/>
        <v>0</v>
      </c>
      <c r="AR9" s="14">
        <v>0</v>
      </c>
      <c r="AS9" s="14">
        <f t="shared" si="19"/>
        <v>0</v>
      </c>
      <c r="AT9" s="14">
        <f t="shared" si="20"/>
        <v>0</v>
      </c>
      <c r="AU9" s="14">
        <v>0</v>
      </c>
      <c r="AV9" s="14"/>
      <c r="AW9" s="14">
        <v>0</v>
      </c>
      <c r="AX9" s="14"/>
      <c r="AY9" s="14">
        <v>0</v>
      </c>
      <c r="AZ9" s="14"/>
      <c r="BA9" s="14">
        <v>1562.38</v>
      </c>
      <c r="BB9" s="14">
        <f>IFERROR(VLOOKUP(D9,#REF!,2,0),0)</f>
        <v>0</v>
      </c>
      <c r="BC9" s="14" t="e">
        <f>MAX(VLOOKUP(D9,#REF!,13,0)-VLOOKUP(D9,#REF!,14,0),0)</f>
        <v>#REF!</v>
      </c>
      <c r="BD9" s="14">
        <f>IFERROR(VLOOKUP(D9,#REF!,3,0),0)</f>
        <v>0</v>
      </c>
      <c r="BE9" s="14" t="e">
        <f>MAX(VLOOKUP(D9,#REF!,22,0)-VLOOKUP(D9,#REF!,23,0),0)</f>
        <v>#REF!</v>
      </c>
      <c r="BF9" s="14" t="e">
        <f t="shared" si="21"/>
        <v>#REF!</v>
      </c>
      <c r="BG9" s="14" t="e">
        <f t="shared" si="22"/>
        <v>#REF!</v>
      </c>
      <c r="BH9" s="14">
        <v>0</v>
      </c>
      <c r="BI9" s="14"/>
      <c r="BJ9" s="14"/>
      <c r="BK9" s="14">
        <v>2751</v>
      </c>
      <c r="BL9" s="14">
        <f t="shared" si="23"/>
        <v>2751</v>
      </c>
      <c r="BM9" s="14">
        <f t="shared" si="24"/>
        <v>0</v>
      </c>
      <c r="BN9" s="14">
        <v>0</v>
      </c>
      <c r="BO9" s="14"/>
      <c r="BP9" s="14"/>
      <c r="BQ9" s="14"/>
      <c r="BR9" s="14">
        <v>0</v>
      </c>
      <c r="BS9" s="14"/>
      <c r="BT9" s="14">
        <v>0</v>
      </c>
      <c r="BU9" s="14"/>
      <c r="BV9" s="14">
        <v>0</v>
      </c>
      <c r="BW9" s="14"/>
      <c r="BX9" s="14">
        <v>101313.38</v>
      </c>
      <c r="BY9" s="14">
        <f t="shared" si="25"/>
        <v>101313.38</v>
      </c>
      <c r="BZ9" s="14">
        <f t="shared" si="26"/>
        <v>0</v>
      </c>
      <c r="CA9" s="14">
        <v>98562.38</v>
      </c>
      <c r="CB9" s="14">
        <f t="shared" si="27"/>
        <v>98562.38</v>
      </c>
      <c r="CC9" s="14">
        <f t="shared" si="28"/>
        <v>0</v>
      </c>
      <c r="CD9" s="14">
        <v>0</v>
      </c>
      <c r="CE9" s="14"/>
      <c r="CF9" s="14"/>
      <c r="CG9" s="14">
        <v>0</v>
      </c>
      <c r="CH9" s="14"/>
      <c r="CI9" s="14">
        <v>3189.0410000000002</v>
      </c>
      <c r="CJ9" s="14">
        <v>0</v>
      </c>
      <c r="CK9" s="14"/>
      <c r="CL9" s="14">
        <v>0</v>
      </c>
      <c r="CM9" s="14">
        <v>7.4999999999999997E-2</v>
      </c>
      <c r="CN9" s="14">
        <v>0</v>
      </c>
      <c r="CO9" s="14">
        <v>0</v>
      </c>
      <c r="CP9" s="14">
        <v>0</v>
      </c>
      <c r="CQ9" s="14"/>
      <c r="CR9" s="14">
        <v>0</v>
      </c>
      <c r="CS9" s="14"/>
      <c r="CT9" s="14">
        <v>1500</v>
      </c>
      <c r="CU9" s="14">
        <f t="shared" si="29"/>
        <v>1500</v>
      </c>
      <c r="CV9" s="14">
        <f t="shared" si="30"/>
        <v>0</v>
      </c>
      <c r="CW9" s="14">
        <v>0</v>
      </c>
      <c r="CX9" s="14">
        <f t="shared" si="31"/>
        <v>0</v>
      </c>
      <c r="CY9" s="14">
        <f t="shared" si="32"/>
        <v>0</v>
      </c>
      <c r="CZ9" s="14">
        <v>1500</v>
      </c>
      <c r="DA9" s="14">
        <f t="shared" si="33"/>
        <v>1500</v>
      </c>
      <c r="DB9" s="14">
        <f t="shared" si="34"/>
        <v>0</v>
      </c>
      <c r="DC9" s="14">
        <v>5892.18</v>
      </c>
      <c r="DD9" s="14">
        <f t="shared" si="39"/>
        <v>5892.18</v>
      </c>
      <c r="DE9" s="14">
        <f t="shared" si="35"/>
        <v>0</v>
      </c>
      <c r="DF9" s="14">
        <v>99813.38</v>
      </c>
      <c r="DG9" s="14">
        <f t="shared" si="36"/>
        <v>99813.38</v>
      </c>
      <c r="DH9" s="14">
        <f t="shared" si="37"/>
        <v>0</v>
      </c>
      <c r="DI9" s="14">
        <v>13427.55</v>
      </c>
      <c r="DJ9" s="14">
        <f>IFERROR(VLOOKUP(D9,#REF!,2,0),0)</f>
        <v>0</v>
      </c>
      <c r="DK9" s="14">
        <f t="shared" si="38"/>
        <v>-13427.55</v>
      </c>
      <c r="DL9" s="14">
        <v>101313.38</v>
      </c>
      <c r="DM9" s="14">
        <v>1571135.6</v>
      </c>
      <c r="DN9" s="14">
        <v>8083.33</v>
      </c>
      <c r="DO9" s="14">
        <v>1562.38</v>
      </c>
      <c r="DP9" s="14">
        <v>0</v>
      </c>
      <c r="DQ9" s="14">
        <v>98562.38</v>
      </c>
      <c r="DR9" s="14">
        <v>28</v>
      </c>
      <c r="DS9" s="14">
        <v>0</v>
      </c>
      <c r="DT9" s="5" t="s">
        <v>206</v>
      </c>
      <c r="DU9" s="5" t="s">
        <v>195</v>
      </c>
      <c r="DV9" s="5" t="s">
        <v>196</v>
      </c>
      <c r="DW9" s="5" t="s">
        <v>197</v>
      </c>
    </row>
    <row r="10" spans="1:127" ht="16.5">
      <c r="A10" s="5" t="s">
        <v>184</v>
      </c>
      <c r="B10" s="5" t="s">
        <v>147</v>
      </c>
      <c r="C10" s="5" t="s">
        <v>148</v>
      </c>
      <c r="D10" s="5" t="s">
        <v>243</v>
      </c>
      <c r="E10" s="5" t="e">
        <f>VLOOKUP(D10,#REF!,1,0)</f>
        <v>#REF!</v>
      </c>
      <c r="F10" s="5" t="s">
        <v>244</v>
      </c>
      <c r="G10" s="5" t="s">
        <v>245</v>
      </c>
      <c r="H10" s="5" t="str">
        <f t="shared" si="0"/>
        <v>Hang Kit Fong</v>
      </c>
      <c r="I10" s="5" t="e">
        <f>VLOOKUP(D10,#REF!,9,0)</f>
        <v>#REF!</v>
      </c>
      <c r="J10" s="5" t="e">
        <f t="shared" si="1"/>
        <v>#REF!</v>
      </c>
      <c r="K10" s="5" t="s">
        <v>245</v>
      </c>
      <c r="L10" s="5" t="s">
        <v>151</v>
      </c>
      <c r="M10" s="5" t="s">
        <v>246</v>
      </c>
      <c r="N10" s="10" t="e">
        <f>VLOOKUP(D10,#REF!,80,0)</f>
        <v>#REF!</v>
      </c>
      <c r="O10" s="11" t="e">
        <f t="shared" si="11"/>
        <v>#REF!</v>
      </c>
      <c r="P10" s="5" t="s">
        <v>203</v>
      </c>
      <c r="Q10" s="5" t="e">
        <f>VLOOKUP(D10,#REF!,50,0)</f>
        <v>#REF!</v>
      </c>
      <c r="R10" s="5" t="e">
        <f t="shared" si="12"/>
        <v>#REF!</v>
      </c>
      <c r="S10" s="5" t="s">
        <v>247</v>
      </c>
      <c r="T10" s="5" t="e">
        <f>VLOOKUP(D10,#REF!,21,0)</f>
        <v>#REF!</v>
      </c>
      <c r="U10" s="5" t="e">
        <f t="shared" si="13"/>
        <v>#REF!</v>
      </c>
      <c r="V10" s="5" t="s">
        <v>205</v>
      </c>
      <c r="W10" s="5" t="e">
        <f>VLOOKUP(D10,#REF!,51,0)</f>
        <v>#REF!</v>
      </c>
      <c r="X10" s="5" t="e">
        <f t="shared" si="14"/>
        <v>#REF!</v>
      </c>
      <c r="Y10" s="5" t="s">
        <v>192</v>
      </c>
      <c r="Z10" s="5" t="s">
        <v>193</v>
      </c>
      <c r="AA10" s="14">
        <v>2.29</v>
      </c>
      <c r="AB10" s="14">
        <v>47819</v>
      </c>
      <c r="AC10" s="14" t="e">
        <f>ROUND(VLOOKUP(D10,#REF!,59,0),0)</f>
        <v>#REF!</v>
      </c>
      <c r="AD10" s="14" t="e">
        <f t="shared" si="15"/>
        <v>#REF!</v>
      </c>
      <c r="AE10" s="14">
        <v>47819</v>
      </c>
      <c r="AF10" s="14">
        <f t="shared" si="16"/>
        <v>47819</v>
      </c>
      <c r="AG10" s="14">
        <f t="shared" si="17"/>
        <v>0</v>
      </c>
      <c r="AH10" s="14">
        <v>0</v>
      </c>
      <c r="AI10" s="14"/>
      <c r="AJ10" s="14"/>
      <c r="AK10" s="14">
        <v>0</v>
      </c>
      <c r="AL10" s="14"/>
      <c r="AM10" s="14"/>
      <c r="AN10" s="14">
        <v>0</v>
      </c>
      <c r="AO10" s="14">
        <v>0</v>
      </c>
      <c r="AP10" s="14">
        <f>IFERROR(VLOOKUP('Feb for check'!D10,#REF!,15,0),0)</f>
        <v>0</v>
      </c>
      <c r="AQ10" s="14">
        <f t="shared" si="18"/>
        <v>0</v>
      </c>
      <c r="AR10" s="14">
        <v>0</v>
      </c>
      <c r="AS10" s="14">
        <f t="shared" si="19"/>
        <v>0</v>
      </c>
      <c r="AT10" s="14">
        <f t="shared" si="20"/>
        <v>0</v>
      </c>
      <c r="AU10" s="14">
        <v>0</v>
      </c>
      <c r="AV10" s="14"/>
      <c r="AW10" s="14">
        <v>0</v>
      </c>
      <c r="AX10" s="14"/>
      <c r="AY10" s="14">
        <v>0</v>
      </c>
      <c r="AZ10" s="14"/>
      <c r="BA10" s="14">
        <v>244.38</v>
      </c>
      <c r="BB10" s="14">
        <f>IFERROR(VLOOKUP(D10,#REF!,2,0),0)</f>
        <v>0</v>
      </c>
      <c r="BC10" s="14" t="e">
        <f>MAX(VLOOKUP(D10,#REF!,13,0)-VLOOKUP(D10,#REF!,14,0),0)</f>
        <v>#REF!</v>
      </c>
      <c r="BD10" s="14">
        <f>IFERROR(VLOOKUP(D10,#REF!,3,0),0)</f>
        <v>0</v>
      </c>
      <c r="BE10" s="14" t="e">
        <f>MAX(VLOOKUP(D10,#REF!,22,0)-VLOOKUP(D10,#REF!,23,0),0)</f>
        <v>#REF!</v>
      </c>
      <c r="BF10" s="14" t="e">
        <f t="shared" si="21"/>
        <v>#REF!</v>
      </c>
      <c r="BG10" s="14" t="e">
        <f t="shared" si="22"/>
        <v>#REF!</v>
      </c>
      <c r="BH10" s="14">
        <v>0</v>
      </c>
      <c r="BI10" s="14"/>
      <c r="BJ10" s="14"/>
      <c r="BK10" s="14">
        <v>917</v>
      </c>
      <c r="BL10" s="14">
        <f t="shared" si="23"/>
        <v>917</v>
      </c>
      <c r="BM10" s="14">
        <f t="shared" si="24"/>
        <v>0</v>
      </c>
      <c r="BN10" s="14">
        <v>0</v>
      </c>
      <c r="BO10" s="14"/>
      <c r="BP10" s="14"/>
      <c r="BQ10" s="14"/>
      <c r="BR10" s="14">
        <v>0</v>
      </c>
      <c r="BS10" s="14"/>
      <c r="BT10" s="14">
        <v>0</v>
      </c>
      <c r="BU10" s="14"/>
      <c r="BV10" s="14">
        <v>0</v>
      </c>
      <c r="BW10" s="14"/>
      <c r="BX10" s="14">
        <v>48980.38</v>
      </c>
      <c r="BY10" s="14">
        <f t="shared" si="25"/>
        <v>48980.38</v>
      </c>
      <c r="BZ10" s="14">
        <f t="shared" si="26"/>
        <v>0</v>
      </c>
      <c r="CA10" s="14">
        <v>48063.38</v>
      </c>
      <c r="CB10" s="14">
        <f t="shared" si="27"/>
        <v>48063.38</v>
      </c>
      <c r="CC10" s="14">
        <f t="shared" si="28"/>
        <v>0</v>
      </c>
      <c r="CD10" s="14">
        <v>0</v>
      </c>
      <c r="CE10" s="14"/>
      <c r="CF10" s="14"/>
      <c r="CG10" s="14">
        <v>0</v>
      </c>
      <c r="CH10" s="14"/>
      <c r="CI10" s="14">
        <v>1572.1315</v>
      </c>
      <c r="CJ10" s="14">
        <v>0</v>
      </c>
      <c r="CK10" s="14"/>
      <c r="CL10" s="14">
        <v>0</v>
      </c>
      <c r="CM10" s="14">
        <v>7.4999999999999997E-2</v>
      </c>
      <c r="CN10" s="14">
        <v>0</v>
      </c>
      <c r="CO10" s="14">
        <v>0</v>
      </c>
      <c r="CP10" s="14">
        <v>0</v>
      </c>
      <c r="CQ10" s="14"/>
      <c r="CR10" s="14">
        <v>0</v>
      </c>
      <c r="CS10" s="14"/>
      <c r="CT10" s="14">
        <v>1500</v>
      </c>
      <c r="CU10" s="14">
        <f t="shared" si="29"/>
        <v>1500</v>
      </c>
      <c r="CV10" s="14">
        <f t="shared" si="30"/>
        <v>0</v>
      </c>
      <c r="CW10" s="14">
        <v>0</v>
      </c>
      <c r="CX10" s="14">
        <f t="shared" si="31"/>
        <v>0</v>
      </c>
      <c r="CY10" s="14">
        <f t="shared" si="32"/>
        <v>0</v>
      </c>
      <c r="CZ10" s="14">
        <v>1500</v>
      </c>
      <c r="DA10" s="14">
        <f t="shared" si="33"/>
        <v>1500</v>
      </c>
      <c r="DB10" s="14">
        <f t="shared" si="34"/>
        <v>0</v>
      </c>
      <c r="DC10" s="14">
        <v>2104.75</v>
      </c>
      <c r="DD10" s="14">
        <f t="shared" si="39"/>
        <v>2104.75</v>
      </c>
      <c r="DE10" s="14">
        <f t="shared" si="35"/>
        <v>0</v>
      </c>
      <c r="DF10" s="14">
        <v>47480.38</v>
      </c>
      <c r="DG10" s="14">
        <f t="shared" si="36"/>
        <v>47480.38</v>
      </c>
      <c r="DH10" s="14">
        <f t="shared" si="37"/>
        <v>0</v>
      </c>
      <c r="DI10" s="14">
        <v>4475.8500000000004</v>
      </c>
      <c r="DJ10" s="14">
        <f>IFERROR(VLOOKUP(D10,#REF!,2,0),0)</f>
        <v>0</v>
      </c>
      <c r="DK10" s="14">
        <f t="shared" si="38"/>
        <v>-4475.8500000000004</v>
      </c>
      <c r="DL10" s="14">
        <v>48980.38</v>
      </c>
      <c r="DM10" s="14">
        <v>811209.92</v>
      </c>
      <c r="DN10" s="14">
        <v>3984.92</v>
      </c>
      <c r="DO10" s="14">
        <v>244.38</v>
      </c>
      <c r="DP10" s="14">
        <v>0</v>
      </c>
      <c r="DQ10" s="14">
        <v>48063.38</v>
      </c>
      <c r="DR10" s="14">
        <v>28</v>
      </c>
      <c r="DS10" s="14">
        <v>0</v>
      </c>
      <c r="DT10" s="5" t="s">
        <v>206</v>
      </c>
      <c r="DU10" s="5" t="s">
        <v>195</v>
      </c>
      <c r="DV10" s="5" t="s">
        <v>196</v>
      </c>
      <c r="DW10" s="5" t="s">
        <v>197</v>
      </c>
    </row>
    <row r="11" spans="1:127" ht="16.5">
      <c r="A11" s="5" t="s">
        <v>184</v>
      </c>
      <c r="B11" s="5" t="s">
        <v>147</v>
      </c>
      <c r="C11" s="5" t="s">
        <v>148</v>
      </c>
      <c r="D11" s="5" t="s">
        <v>248</v>
      </c>
      <c r="E11" s="5" t="e">
        <f>VLOOKUP(D11,#REF!,1,0)</f>
        <v>#REF!</v>
      </c>
      <c r="F11" s="5" t="s">
        <v>249</v>
      </c>
      <c r="G11" s="5" t="s">
        <v>250</v>
      </c>
      <c r="H11" s="5" t="str">
        <f t="shared" si="0"/>
        <v>Wing Ki Li</v>
      </c>
      <c r="I11" s="5" t="e">
        <f>VLOOKUP(D11,#REF!,9,0)</f>
        <v>#REF!</v>
      </c>
      <c r="J11" s="5" t="e">
        <f t="shared" si="1"/>
        <v>#REF!</v>
      </c>
      <c r="K11" s="5" t="s">
        <v>251</v>
      </c>
      <c r="L11" s="5" t="s">
        <v>151</v>
      </c>
      <c r="M11" s="5" t="s">
        <v>252</v>
      </c>
      <c r="N11" s="10" t="e">
        <f>VLOOKUP(D11,#REF!,80,0)</f>
        <v>#REF!</v>
      </c>
      <c r="O11" s="11" t="e">
        <f t="shared" si="11"/>
        <v>#REF!</v>
      </c>
      <c r="P11" s="5" t="s">
        <v>253</v>
      </c>
      <c r="Q11" s="5" t="e">
        <f>VLOOKUP(D11,#REF!,50,0)</f>
        <v>#REF!</v>
      </c>
      <c r="R11" s="5" t="e">
        <f t="shared" si="12"/>
        <v>#REF!</v>
      </c>
      <c r="S11" s="5" t="s">
        <v>254</v>
      </c>
      <c r="T11" s="5" t="e">
        <f>VLOOKUP(D11,#REF!,21,0)</f>
        <v>#REF!</v>
      </c>
      <c r="U11" s="5" t="e">
        <f t="shared" si="13"/>
        <v>#REF!</v>
      </c>
      <c r="V11" s="5" t="s">
        <v>255</v>
      </c>
      <c r="W11" s="5" t="e">
        <f>VLOOKUP(D11,#REF!,51,0)</f>
        <v>#REF!</v>
      </c>
      <c r="X11" s="5" t="e">
        <f t="shared" si="14"/>
        <v>#REF!</v>
      </c>
      <c r="Y11" s="5" t="s">
        <v>192</v>
      </c>
      <c r="Z11" s="5" t="s">
        <v>193</v>
      </c>
      <c r="AA11" s="14">
        <v>7.05</v>
      </c>
      <c r="AB11" s="14">
        <v>70390</v>
      </c>
      <c r="AC11" s="14" t="e">
        <f>ROUND(VLOOKUP(D11,#REF!,59,0),0)</f>
        <v>#REF!</v>
      </c>
      <c r="AD11" s="14" t="e">
        <f t="shared" si="15"/>
        <v>#REF!</v>
      </c>
      <c r="AE11" s="14">
        <v>70390</v>
      </c>
      <c r="AF11" s="14">
        <f t="shared" si="16"/>
        <v>70390</v>
      </c>
      <c r="AG11" s="14">
        <f t="shared" si="17"/>
        <v>0</v>
      </c>
      <c r="AH11" s="14">
        <v>0</v>
      </c>
      <c r="AI11" s="14"/>
      <c r="AJ11" s="14"/>
      <c r="AK11" s="14">
        <v>0</v>
      </c>
      <c r="AL11" s="14"/>
      <c r="AM11" s="14"/>
      <c r="AN11" s="14">
        <v>0</v>
      </c>
      <c r="AO11" s="14">
        <v>0</v>
      </c>
      <c r="AP11" s="14">
        <f>IFERROR(VLOOKUP('Feb for check'!D11,#REF!,15,0),0)</f>
        <v>0</v>
      </c>
      <c r="AQ11" s="14">
        <f t="shared" si="18"/>
        <v>0</v>
      </c>
      <c r="AR11" s="14">
        <v>0</v>
      </c>
      <c r="AS11" s="14">
        <f t="shared" si="19"/>
        <v>0</v>
      </c>
      <c r="AT11" s="14">
        <f t="shared" si="20"/>
        <v>0</v>
      </c>
      <c r="AU11" s="14">
        <v>0</v>
      </c>
      <c r="AV11" s="14"/>
      <c r="AW11" s="14">
        <v>0</v>
      </c>
      <c r="AX11" s="14"/>
      <c r="AY11" s="14">
        <v>0</v>
      </c>
      <c r="AZ11" s="14"/>
      <c r="BA11" s="14">
        <v>1837.22</v>
      </c>
      <c r="BB11" s="14">
        <f>IFERROR(VLOOKUP(D11,#REF!,2,0),0)</f>
        <v>0</v>
      </c>
      <c r="BC11" s="14" t="e">
        <f>MAX(VLOOKUP(D11,#REF!,13,0)-VLOOKUP(D11,#REF!,14,0),0)</f>
        <v>#REF!</v>
      </c>
      <c r="BD11" s="14">
        <f>IFERROR(VLOOKUP(D11,#REF!,3,0),0)</f>
        <v>0</v>
      </c>
      <c r="BE11" s="14" t="e">
        <f>MAX(VLOOKUP(D11,#REF!,22,0)-VLOOKUP(D11,#REF!,23,0),0)</f>
        <v>#REF!</v>
      </c>
      <c r="BF11" s="14" t="e">
        <f t="shared" si="21"/>
        <v>#REF!</v>
      </c>
      <c r="BG11" s="14" t="e">
        <f t="shared" si="22"/>
        <v>#REF!</v>
      </c>
      <c r="BH11" s="14">
        <v>0</v>
      </c>
      <c r="BI11" s="14"/>
      <c r="BJ11" s="14"/>
      <c r="BK11" s="14">
        <v>917</v>
      </c>
      <c r="BL11" s="14">
        <f t="shared" si="23"/>
        <v>917</v>
      </c>
      <c r="BM11" s="14">
        <f t="shared" si="24"/>
        <v>0</v>
      </c>
      <c r="BN11" s="14">
        <v>0</v>
      </c>
      <c r="BO11" s="14"/>
      <c r="BP11" s="14"/>
      <c r="BQ11" s="14"/>
      <c r="BR11" s="14">
        <v>0</v>
      </c>
      <c r="BS11" s="14"/>
      <c r="BT11" s="14">
        <v>0</v>
      </c>
      <c r="BU11" s="14"/>
      <c r="BV11" s="14">
        <v>0</v>
      </c>
      <c r="BW11" s="14"/>
      <c r="BX11" s="14">
        <v>73144.22</v>
      </c>
      <c r="BY11" s="14">
        <f t="shared" si="25"/>
        <v>73144.22</v>
      </c>
      <c r="BZ11" s="14">
        <f t="shared" si="26"/>
        <v>0</v>
      </c>
      <c r="CA11" s="14">
        <v>72227.22</v>
      </c>
      <c r="CB11" s="14">
        <f t="shared" si="27"/>
        <v>72227.22</v>
      </c>
      <c r="CC11" s="14">
        <f t="shared" si="28"/>
        <v>0</v>
      </c>
      <c r="CD11" s="14">
        <v>0</v>
      </c>
      <c r="CE11" s="14"/>
      <c r="CF11" s="14"/>
      <c r="CG11" s="14">
        <v>0</v>
      </c>
      <c r="CH11" s="14"/>
      <c r="CI11" s="14">
        <v>2314.1916999999999</v>
      </c>
      <c r="CJ11" s="14">
        <v>0</v>
      </c>
      <c r="CK11" s="14"/>
      <c r="CL11" s="14">
        <v>0</v>
      </c>
      <c r="CM11" s="14">
        <v>7.4999999999999997E-2</v>
      </c>
      <c r="CN11" s="14">
        <v>0</v>
      </c>
      <c r="CO11" s="14">
        <v>0</v>
      </c>
      <c r="CP11" s="14">
        <v>0</v>
      </c>
      <c r="CQ11" s="14"/>
      <c r="CR11" s="14">
        <v>0</v>
      </c>
      <c r="CS11" s="14"/>
      <c r="CT11" s="14">
        <v>1500</v>
      </c>
      <c r="CU11" s="14">
        <f t="shared" si="29"/>
        <v>1500</v>
      </c>
      <c r="CV11" s="14">
        <f t="shared" si="30"/>
        <v>0</v>
      </c>
      <c r="CW11" s="14">
        <v>0</v>
      </c>
      <c r="CX11" s="14">
        <f t="shared" si="31"/>
        <v>0</v>
      </c>
      <c r="CY11" s="14">
        <f t="shared" si="32"/>
        <v>0</v>
      </c>
      <c r="CZ11" s="14">
        <v>1500</v>
      </c>
      <c r="DA11" s="14">
        <f t="shared" si="33"/>
        <v>1500</v>
      </c>
      <c r="DB11" s="14">
        <f t="shared" si="34"/>
        <v>0</v>
      </c>
      <c r="DC11" s="14">
        <v>3917.04</v>
      </c>
      <c r="DD11" s="14">
        <f t="shared" si="39"/>
        <v>3917.04</v>
      </c>
      <c r="DE11" s="14">
        <f t="shared" si="35"/>
        <v>0</v>
      </c>
      <c r="DF11" s="14">
        <v>71644.22</v>
      </c>
      <c r="DG11" s="14">
        <f t="shared" si="36"/>
        <v>71644.22</v>
      </c>
      <c r="DH11" s="14">
        <f t="shared" si="37"/>
        <v>0</v>
      </c>
      <c r="DI11" s="14">
        <v>4475.84</v>
      </c>
      <c r="DJ11" s="14">
        <f>IFERROR(VLOOKUP(D11,#REF!,2,0),0)</f>
        <v>0</v>
      </c>
      <c r="DK11" s="14">
        <f t="shared" si="38"/>
        <v>-4475.84</v>
      </c>
      <c r="DL11" s="14">
        <v>73144.22</v>
      </c>
      <c r="DM11" s="14">
        <v>1195263.6599999999</v>
      </c>
      <c r="DN11" s="14">
        <v>5865.83</v>
      </c>
      <c r="DO11" s="14">
        <v>1837.22</v>
      </c>
      <c r="DP11" s="14">
        <v>0</v>
      </c>
      <c r="DQ11" s="14">
        <v>72227.22</v>
      </c>
      <c r="DR11" s="14">
        <v>28</v>
      </c>
      <c r="DS11" s="14">
        <v>0</v>
      </c>
      <c r="DT11" s="5" t="s">
        <v>206</v>
      </c>
      <c r="DU11" s="5" t="s">
        <v>195</v>
      </c>
      <c r="DV11" s="5" t="s">
        <v>196</v>
      </c>
      <c r="DW11" s="5" t="s">
        <v>197</v>
      </c>
    </row>
    <row r="12" spans="1:127" ht="16.5">
      <c r="A12" s="5" t="s">
        <v>184</v>
      </c>
      <c r="B12" s="5" t="s">
        <v>147</v>
      </c>
      <c r="C12" s="5" t="s">
        <v>148</v>
      </c>
      <c r="D12" s="5" t="s">
        <v>256</v>
      </c>
      <c r="E12" s="5" t="e">
        <f>VLOOKUP(D12,#REF!,1,0)</f>
        <v>#REF!</v>
      </c>
      <c r="F12" s="5" t="s">
        <v>257</v>
      </c>
      <c r="G12" s="5" t="s">
        <v>258</v>
      </c>
      <c r="H12" s="5" t="str">
        <f t="shared" si="0"/>
        <v>Yin Kei Tam</v>
      </c>
      <c r="I12" s="5" t="e">
        <f>VLOOKUP(D12,#REF!,9,0)</f>
        <v>#REF!</v>
      </c>
      <c r="J12" s="5" t="e">
        <f t="shared" si="1"/>
        <v>#REF!</v>
      </c>
      <c r="K12" s="5" t="s">
        <v>258</v>
      </c>
      <c r="L12" s="5" t="s">
        <v>151</v>
      </c>
      <c r="M12" s="5" t="s">
        <v>259</v>
      </c>
      <c r="N12" s="10" t="e">
        <f>VLOOKUP(D12,#REF!,80,0)</f>
        <v>#REF!</v>
      </c>
      <c r="O12" s="11" t="e">
        <f t="shared" si="11"/>
        <v>#REF!</v>
      </c>
      <c r="P12" s="5" t="s">
        <v>260</v>
      </c>
      <c r="Q12" s="5" t="e">
        <f>VLOOKUP(D12,#REF!,50,0)</f>
        <v>#REF!</v>
      </c>
      <c r="R12" s="5" t="e">
        <f t="shared" si="12"/>
        <v>#REF!</v>
      </c>
      <c r="S12" s="5" t="s">
        <v>261</v>
      </c>
      <c r="T12" s="5" t="e">
        <f>VLOOKUP(D12,#REF!,21,0)</f>
        <v>#REF!</v>
      </c>
      <c r="U12" s="5" t="e">
        <f t="shared" si="13"/>
        <v>#REF!</v>
      </c>
      <c r="V12" s="5" t="s">
        <v>262</v>
      </c>
      <c r="W12" s="5" t="e">
        <f>VLOOKUP(D12,#REF!,51,0)</f>
        <v>#REF!</v>
      </c>
      <c r="X12" s="5" t="e">
        <f t="shared" si="14"/>
        <v>#REF!</v>
      </c>
      <c r="Y12" s="5" t="s">
        <v>192</v>
      </c>
      <c r="Z12" s="5" t="s">
        <v>193</v>
      </c>
      <c r="AA12" s="14">
        <v>0.16</v>
      </c>
      <c r="AB12" s="14">
        <v>0</v>
      </c>
      <c r="AC12" s="14"/>
      <c r="AD12" s="14"/>
      <c r="AE12" s="14">
        <v>0</v>
      </c>
      <c r="AF12" s="14"/>
      <c r="AG12" s="14"/>
      <c r="AH12" s="14">
        <v>0</v>
      </c>
      <c r="AI12" s="14"/>
      <c r="AJ12" s="14"/>
      <c r="AK12" s="14">
        <v>13500</v>
      </c>
      <c r="AL12" s="14" t="e">
        <f>VLOOKUP(D12,#REF!,59,0)</f>
        <v>#REF!</v>
      </c>
      <c r="AM12" s="14" t="e">
        <f>AL12-AK12</f>
        <v>#REF!</v>
      </c>
      <c r="AN12" s="14">
        <v>13500</v>
      </c>
      <c r="AO12" s="14">
        <v>0</v>
      </c>
      <c r="AP12" s="14">
        <f>IFERROR(VLOOKUP('Feb for check'!D12,#REF!,15,0),0)</f>
        <v>0</v>
      </c>
      <c r="AQ12" s="14">
        <f t="shared" si="18"/>
        <v>0</v>
      </c>
      <c r="AR12" s="14">
        <v>0</v>
      </c>
      <c r="AS12" s="14">
        <f t="shared" si="19"/>
        <v>0</v>
      </c>
      <c r="AT12" s="14">
        <f t="shared" si="20"/>
        <v>0</v>
      </c>
      <c r="AU12" s="14">
        <v>0</v>
      </c>
      <c r="AV12" s="14"/>
      <c r="AW12" s="14">
        <v>0</v>
      </c>
      <c r="AX12" s="14"/>
      <c r="AY12" s="14">
        <v>0</v>
      </c>
      <c r="AZ12" s="14"/>
      <c r="BA12" s="14">
        <v>0</v>
      </c>
      <c r="BB12" s="14">
        <f>IFERROR(VLOOKUP(D12,#REF!,2,0),0)</f>
        <v>0</v>
      </c>
      <c r="BC12" s="14" t="e">
        <f>MAX(VLOOKUP(D12,#REF!,13,0)-VLOOKUP(D12,#REF!,14,0),0)</f>
        <v>#REF!</v>
      </c>
      <c r="BD12" s="14">
        <f>IFERROR(VLOOKUP(D12,#REF!,3,0),0)</f>
        <v>0</v>
      </c>
      <c r="BE12" s="14" t="e">
        <f>MAX(VLOOKUP(D12,#REF!,22,0)-VLOOKUP(D12,#REF!,23,0),0)</f>
        <v>#REF!</v>
      </c>
      <c r="BF12" s="14" t="e">
        <f t="shared" si="21"/>
        <v>#REF!</v>
      </c>
      <c r="BG12" s="14" t="e">
        <f t="shared" si="22"/>
        <v>#REF!</v>
      </c>
      <c r="BH12" s="14">
        <v>0</v>
      </c>
      <c r="BI12" s="14"/>
      <c r="BJ12" s="14"/>
      <c r="BK12" s="14">
        <v>0</v>
      </c>
      <c r="BL12" s="14">
        <f t="shared" si="23"/>
        <v>0</v>
      </c>
      <c r="BM12" s="14">
        <f t="shared" si="24"/>
        <v>0</v>
      </c>
      <c r="BN12" s="14">
        <v>0</v>
      </c>
      <c r="BO12" s="14"/>
      <c r="BP12" s="14"/>
      <c r="BQ12" s="14"/>
      <c r="BR12" s="14">
        <v>0</v>
      </c>
      <c r="BS12" s="14"/>
      <c r="BT12" s="14">
        <v>0</v>
      </c>
      <c r="BU12" s="14"/>
      <c r="BV12" s="14">
        <v>0</v>
      </c>
      <c r="BW12" s="14"/>
      <c r="BX12" s="14">
        <v>13500</v>
      </c>
      <c r="BY12" s="14">
        <f t="shared" si="25"/>
        <v>13500</v>
      </c>
      <c r="BZ12" s="14">
        <f t="shared" si="26"/>
        <v>0</v>
      </c>
      <c r="CA12" s="14">
        <v>0</v>
      </c>
      <c r="CB12" s="14">
        <f t="shared" si="27"/>
        <v>0</v>
      </c>
      <c r="CC12" s="14">
        <f t="shared" si="28"/>
        <v>0</v>
      </c>
      <c r="CD12" s="14">
        <v>0</v>
      </c>
      <c r="CE12" s="14"/>
      <c r="CF12" s="14"/>
      <c r="CG12" s="14">
        <v>0</v>
      </c>
      <c r="CH12" s="14"/>
      <c r="CI12" s="14">
        <v>443.8356</v>
      </c>
      <c r="CJ12" s="14">
        <v>0</v>
      </c>
      <c r="CK12" s="14"/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/>
      <c r="CR12" s="14">
        <v>0</v>
      </c>
      <c r="CS12" s="14"/>
      <c r="CT12" s="14">
        <v>0</v>
      </c>
      <c r="CU12" s="14">
        <f t="shared" si="29"/>
        <v>675</v>
      </c>
      <c r="CV12" s="14" t="s">
        <v>194</v>
      </c>
      <c r="CW12" s="14">
        <v>0</v>
      </c>
      <c r="CX12" s="14">
        <f t="shared" si="31"/>
        <v>0</v>
      </c>
      <c r="CY12" s="14">
        <f t="shared" si="32"/>
        <v>0</v>
      </c>
      <c r="CZ12" s="14">
        <v>0</v>
      </c>
      <c r="DA12" s="14">
        <f t="shared" si="33"/>
        <v>675</v>
      </c>
      <c r="DB12" s="14" t="s">
        <v>194</v>
      </c>
      <c r="DC12" s="14">
        <v>0</v>
      </c>
      <c r="DD12" s="14">
        <f t="shared" si="39"/>
        <v>0</v>
      </c>
      <c r="DE12" s="14">
        <f t="shared" si="35"/>
        <v>0</v>
      </c>
      <c r="DF12" s="14">
        <v>13500</v>
      </c>
      <c r="DG12" s="14">
        <f t="shared" si="36"/>
        <v>13500</v>
      </c>
      <c r="DH12" s="14">
        <f t="shared" si="37"/>
        <v>0</v>
      </c>
      <c r="DI12" s="14">
        <v>0</v>
      </c>
      <c r="DJ12" s="14">
        <f>IFERROR(VLOOKUP(D12,#REF!,2,0),0)</f>
        <v>0</v>
      </c>
      <c r="DK12" s="14">
        <f t="shared" si="38"/>
        <v>0</v>
      </c>
      <c r="DL12" s="14">
        <v>13500</v>
      </c>
      <c r="DM12" s="14">
        <v>26564.52</v>
      </c>
      <c r="DN12" s="14">
        <v>1125</v>
      </c>
      <c r="DO12" s="14">
        <v>0</v>
      </c>
      <c r="DP12" s="14">
        <v>0</v>
      </c>
      <c r="DQ12" s="14">
        <v>13500</v>
      </c>
      <c r="DR12" s="14">
        <v>28</v>
      </c>
      <c r="DS12" s="14">
        <v>0</v>
      </c>
      <c r="DT12" s="5" t="s">
        <v>259</v>
      </c>
      <c r="DU12" s="5" t="s">
        <v>195</v>
      </c>
      <c r="DV12" s="5" t="s">
        <v>196</v>
      </c>
      <c r="DW12" s="5" t="s">
        <v>197</v>
      </c>
    </row>
    <row r="13" spans="1:127" ht="16.5">
      <c r="A13" s="5" t="s">
        <v>184</v>
      </c>
      <c r="B13" s="5" t="s">
        <v>147</v>
      </c>
      <c r="C13" s="5" t="s">
        <v>148</v>
      </c>
      <c r="D13" s="5" t="s">
        <v>263</v>
      </c>
      <c r="E13" s="5" t="e">
        <f>VLOOKUP(D13,#REF!,1,0)</f>
        <v>#REF!</v>
      </c>
      <c r="F13" s="5" t="s">
        <v>264</v>
      </c>
      <c r="G13" s="5" t="s">
        <v>265</v>
      </c>
      <c r="H13" s="5" t="str">
        <f t="shared" si="0"/>
        <v>Hoi Yan Pamela Wong</v>
      </c>
      <c r="I13" s="5" t="e">
        <f>VLOOKUP(D13,#REF!,9,0)</f>
        <v>#REF!</v>
      </c>
      <c r="J13" s="5" t="e">
        <f t="shared" si="1"/>
        <v>#REF!</v>
      </c>
      <c r="K13" s="5" t="s">
        <v>266</v>
      </c>
      <c r="L13" s="5" t="s">
        <v>151</v>
      </c>
      <c r="M13" s="5" t="s">
        <v>267</v>
      </c>
      <c r="N13" s="10" t="e">
        <f>VLOOKUP(D13,#REF!,80,0)</f>
        <v>#REF!</v>
      </c>
      <c r="O13" s="11" t="e">
        <f t="shared" si="11"/>
        <v>#REF!</v>
      </c>
      <c r="P13" s="5" t="s">
        <v>268</v>
      </c>
      <c r="Q13" s="5" t="e">
        <f>VLOOKUP(D13,#REF!,50,0)</f>
        <v>#REF!</v>
      </c>
      <c r="R13" s="5" t="e">
        <f t="shared" si="12"/>
        <v>#REF!</v>
      </c>
      <c r="S13" s="5" t="s">
        <v>269</v>
      </c>
      <c r="T13" s="5" t="e">
        <f>VLOOKUP(D13,#REF!,21,0)</f>
        <v>#REF!</v>
      </c>
      <c r="U13" s="5" t="e">
        <f t="shared" si="13"/>
        <v>#REF!</v>
      </c>
      <c r="V13" s="5" t="s">
        <v>270</v>
      </c>
      <c r="W13" s="5" t="e">
        <f>VLOOKUP(D13,#REF!,51,0)</f>
        <v>#REF!</v>
      </c>
      <c r="X13" s="5" t="e">
        <f t="shared" si="14"/>
        <v>#REF!</v>
      </c>
      <c r="Y13" s="5" t="s">
        <v>192</v>
      </c>
      <c r="Z13" s="5" t="s">
        <v>193</v>
      </c>
      <c r="AA13" s="14">
        <v>16.48</v>
      </c>
      <c r="AB13" s="14">
        <v>112137</v>
      </c>
      <c r="AC13" s="14" t="e">
        <f>ROUND(VLOOKUP(D13,#REF!,59,0),0)</f>
        <v>#REF!</v>
      </c>
      <c r="AD13" s="14" t="e">
        <f t="shared" ref="AD13:AD76" si="40">AC13-AB13</f>
        <v>#REF!</v>
      </c>
      <c r="AE13" s="14">
        <v>112137</v>
      </c>
      <c r="AF13" s="14">
        <f t="shared" ref="AF13:AF76" si="41">AB13</f>
        <v>112137</v>
      </c>
      <c r="AG13" s="14">
        <f t="shared" ref="AG13:AG76" si="42">AF13-AE13</f>
        <v>0</v>
      </c>
      <c r="AH13" s="14">
        <v>0</v>
      </c>
      <c r="AI13" s="14"/>
      <c r="AJ13" s="14"/>
      <c r="AK13" s="14">
        <v>0</v>
      </c>
      <c r="AL13" s="14"/>
      <c r="AM13" s="14"/>
      <c r="AN13" s="14">
        <v>0</v>
      </c>
      <c r="AO13" s="14">
        <v>0</v>
      </c>
      <c r="AP13" s="14">
        <f>IFERROR(VLOOKUP('Feb for check'!D13,#REF!,15,0),0)</f>
        <v>0</v>
      </c>
      <c r="AQ13" s="14">
        <f t="shared" si="18"/>
        <v>0</v>
      </c>
      <c r="AR13" s="14">
        <v>0</v>
      </c>
      <c r="AS13" s="14">
        <f t="shared" si="19"/>
        <v>0</v>
      </c>
      <c r="AT13" s="14">
        <f t="shared" si="20"/>
        <v>0</v>
      </c>
      <c r="AU13" s="14">
        <v>0</v>
      </c>
      <c r="AV13" s="14"/>
      <c r="AW13" s="14">
        <v>0</v>
      </c>
      <c r="AX13" s="14"/>
      <c r="AY13" s="14">
        <v>0</v>
      </c>
      <c r="AZ13" s="14"/>
      <c r="BA13" s="14">
        <v>0</v>
      </c>
      <c r="BB13" s="14">
        <f>IFERROR(VLOOKUP(D13,#REF!,2,0),0)</f>
        <v>0</v>
      </c>
      <c r="BC13" s="14" t="e">
        <f>MAX(VLOOKUP(D13,#REF!,13,0)-VLOOKUP(D13,#REF!,14,0),0)</f>
        <v>#REF!</v>
      </c>
      <c r="BD13" s="14">
        <f>IFERROR(VLOOKUP(D13,#REF!,3,0),0)</f>
        <v>0</v>
      </c>
      <c r="BE13" s="14" t="e">
        <f>MAX(VLOOKUP(D13,#REF!,22,0)-VLOOKUP(D13,#REF!,23,0),0)</f>
        <v>#REF!</v>
      </c>
      <c r="BF13" s="14" t="e">
        <f t="shared" si="21"/>
        <v>#REF!</v>
      </c>
      <c r="BG13" s="14" t="e">
        <f t="shared" si="22"/>
        <v>#REF!</v>
      </c>
      <c r="BH13" s="14">
        <v>0</v>
      </c>
      <c r="BI13" s="14"/>
      <c r="BJ13" s="14"/>
      <c r="BK13" s="14">
        <v>1540</v>
      </c>
      <c r="BL13" s="14">
        <f t="shared" si="23"/>
        <v>1540</v>
      </c>
      <c r="BM13" s="14">
        <f t="shared" si="24"/>
        <v>0</v>
      </c>
      <c r="BN13" s="14">
        <v>0</v>
      </c>
      <c r="BO13" s="14"/>
      <c r="BP13" s="14"/>
      <c r="BQ13" s="14"/>
      <c r="BR13" s="14">
        <v>0</v>
      </c>
      <c r="BS13" s="14"/>
      <c r="BT13" s="14">
        <v>0</v>
      </c>
      <c r="BU13" s="14"/>
      <c r="BV13" s="14">
        <v>0</v>
      </c>
      <c r="BW13" s="14"/>
      <c r="BX13" s="14">
        <v>113677</v>
      </c>
      <c r="BY13" s="14">
        <f t="shared" si="25"/>
        <v>113677</v>
      </c>
      <c r="BZ13" s="14">
        <f t="shared" si="26"/>
        <v>0</v>
      </c>
      <c r="CA13" s="14">
        <v>112137</v>
      </c>
      <c r="CB13" s="14">
        <f t="shared" si="27"/>
        <v>112137</v>
      </c>
      <c r="CC13" s="14">
        <f t="shared" si="28"/>
        <v>0</v>
      </c>
      <c r="CD13" s="14">
        <v>0</v>
      </c>
      <c r="CE13" s="14"/>
      <c r="CF13" s="14"/>
      <c r="CG13" s="14">
        <v>0</v>
      </c>
      <c r="CH13" s="14"/>
      <c r="CI13" s="14">
        <v>3686.6958</v>
      </c>
      <c r="CJ13" s="14">
        <v>0.05</v>
      </c>
      <c r="CK13" s="14"/>
      <c r="CL13" s="14">
        <v>0</v>
      </c>
      <c r="CM13" s="14">
        <v>0.1</v>
      </c>
      <c r="CN13" s="14">
        <v>0</v>
      </c>
      <c r="CO13" s="14">
        <v>0</v>
      </c>
      <c r="CP13" s="14">
        <v>0</v>
      </c>
      <c r="CQ13" s="14"/>
      <c r="CR13" s="14">
        <v>0</v>
      </c>
      <c r="CS13" s="14"/>
      <c r="CT13" s="14">
        <v>1500</v>
      </c>
      <c r="CU13" s="14">
        <f t="shared" si="29"/>
        <v>1500</v>
      </c>
      <c r="CV13" s="14">
        <f t="shared" si="30"/>
        <v>0</v>
      </c>
      <c r="CW13" s="14">
        <v>5606.85</v>
      </c>
      <c r="CX13" s="14">
        <f t="shared" si="31"/>
        <v>5606.85</v>
      </c>
      <c r="CY13" s="14">
        <f t="shared" si="32"/>
        <v>0</v>
      </c>
      <c r="CZ13" s="14">
        <v>1500</v>
      </c>
      <c r="DA13" s="14">
        <f t="shared" si="33"/>
        <v>1500</v>
      </c>
      <c r="DB13" s="14">
        <f t="shared" si="34"/>
        <v>0</v>
      </c>
      <c r="DC13" s="14">
        <v>9713.7000000000007</v>
      </c>
      <c r="DD13" s="14">
        <f t="shared" si="39"/>
        <v>9713.7000000000007</v>
      </c>
      <c r="DE13" s="14">
        <f t="shared" si="35"/>
        <v>0</v>
      </c>
      <c r="DF13" s="14">
        <v>106570.15</v>
      </c>
      <c r="DG13" s="14">
        <f t="shared" si="36"/>
        <v>106570.15</v>
      </c>
      <c r="DH13" s="14">
        <f t="shared" si="37"/>
        <v>0</v>
      </c>
      <c r="DI13" s="14">
        <v>7518.08</v>
      </c>
      <c r="DJ13" s="14">
        <f>IFERROR(VLOOKUP(D13,#REF!,2,0),0)</f>
        <v>0</v>
      </c>
      <c r="DK13" s="14">
        <f t="shared" si="38"/>
        <v>-7518.08</v>
      </c>
      <c r="DL13" s="14">
        <v>113677</v>
      </c>
      <c r="DM13" s="14">
        <v>2213744.0099999998</v>
      </c>
      <c r="DN13" s="14">
        <v>9344.75</v>
      </c>
      <c r="DO13" s="14">
        <v>0</v>
      </c>
      <c r="DP13" s="14">
        <v>0</v>
      </c>
      <c r="DQ13" s="14">
        <v>112137</v>
      </c>
      <c r="DR13" s="14">
        <v>28</v>
      </c>
      <c r="DS13" s="14">
        <v>0</v>
      </c>
      <c r="DT13" s="5" t="s">
        <v>206</v>
      </c>
      <c r="DU13" s="5" t="s">
        <v>195</v>
      </c>
      <c r="DV13" s="5" t="s">
        <v>196</v>
      </c>
      <c r="DW13" s="5" t="s">
        <v>197</v>
      </c>
    </row>
    <row r="14" spans="1:127" ht="16.5">
      <c r="A14" s="5" t="s">
        <v>184</v>
      </c>
      <c r="B14" s="5" t="s">
        <v>147</v>
      </c>
      <c r="C14" s="5" t="s">
        <v>148</v>
      </c>
      <c r="D14" s="5" t="s">
        <v>271</v>
      </c>
      <c r="E14" s="5" t="e">
        <f>VLOOKUP(D14,#REF!,1,0)</f>
        <v>#REF!</v>
      </c>
      <c r="F14" s="5" t="s">
        <v>222</v>
      </c>
      <c r="G14" s="5" t="s">
        <v>272</v>
      </c>
      <c r="H14" s="5" t="str">
        <f t="shared" si="0"/>
        <v>Siu Yan Lam</v>
      </c>
      <c r="I14" s="5" t="e">
        <f>VLOOKUP(D14,#REF!,9,0)</f>
        <v>#REF!</v>
      </c>
      <c r="J14" s="5" t="e">
        <f t="shared" si="1"/>
        <v>#REF!</v>
      </c>
      <c r="K14" s="5" t="s">
        <v>273</v>
      </c>
      <c r="L14" s="5" t="s">
        <v>151</v>
      </c>
      <c r="M14" s="5" t="s">
        <v>274</v>
      </c>
      <c r="N14" s="10" t="e">
        <f>VLOOKUP(D14,#REF!,80,0)</f>
        <v>#REF!</v>
      </c>
      <c r="O14" s="11" t="e">
        <f t="shared" si="11"/>
        <v>#REF!</v>
      </c>
      <c r="P14" s="5" t="s">
        <v>275</v>
      </c>
      <c r="Q14" s="5" t="e">
        <f>VLOOKUP(D14,#REF!,50,0)</f>
        <v>#REF!</v>
      </c>
      <c r="R14" s="5" t="e">
        <f t="shared" si="12"/>
        <v>#REF!</v>
      </c>
      <c r="S14" s="5" t="s">
        <v>276</v>
      </c>
      <c r="T14" s="5" t="e">
        <f>VLOOKUP(D14,#REF!,21,0)</f>
        <v>#REF!</v>
      </c>
      <c r="U14" s="5" t="e">
        <f t="shared" si="13"/>
        <v>#REF!</v>
      </c>
      <c r="V14" s="5" t="s">
        <v>277</v>
      </c>
      <c r="W14" s="5" t="e">
        <f>VLOOKUP(D14,#REF!,51,0)</f>
        <v>#REF!</v>
      </c>
      <c r="X14" s="5" t="e">
        <f t="shared" si="14"/>
        <v>#REF!</v>
      </c>
      <c r="Y14" s="5" t="s">
        <v>192</v>
      </c>
      <c r="Z14" s="5" t="s">
        <v>193</v>
      </c>
      <c r="AA14" s="14">
        <v>11.95</v>
      </c>
      <c r="AB14" s="14">
        <v>45371</v>
      </c>
      <c r="AC14" s="14" t="e">
        <f>ROUND(VLOOKUP(D14,#REF!,59,0),0)</f>
        <v>#REF!</v>
      </c>
      <c r="AD14" s="14" t="e">
        <f t="shared" si="40"/>
        <v>#REF!</v>
      </c>
      <c r="AE14" s="14">
        <v>45371</v>
      </c>
      <c r="AF14" s="14">
        <f t="shared" si="41"/>
        <v>45371</v>
      </c>
      <c r="AG14" s="14">
        <f t="shared" si="42"/>
        <v>0</v>
      </c>
      <c r="AH14" s="14">
        <v>0</v>
      </c>
      <c r="AI14" s="14"/>
      <c r="AJ14" s="14"/>
      <c r="AK14" s="14">
        <v>0</v>
      </c>
      <c r="AL14" s="14"/>
      <c r="AM14" s="14"/>
      <c r="AN14" s="14">
        <v>0</v>
      </c>
      <c r="AO14" s="14">
        <v>2500</v>
      </c>
      <c r="AP14" s="14">
        <f>IFERROR(VLOOKUP('Feb for check'!D14,#REF!,15,0),0)</f>
        <v>0</v>
      </c>
      <c r="AQ14" s="14">
        <f t="shared" si="18"/>
        <v>-2500</v>
      </c>
      <c r="AR14" s="14">
        <v>2500</v>
      </c>
      <c r="AS14" s="14">
        <f t="shared" si="19"/>
        <v>2500</v>
      </c>
      <c r="AT14" s="14">
        <f t="shared" si="20"/>
        <v>0</v>
      </c>
      <c r="AU14" s="14">
        <v>0</v>
      </c>
      <c r="AV14" s="14"/>
      <c r="AW14" s="14">
        <v>0</v>
      </c>
      <c r="AX14" s="14"/>
      <c r="AY14" s="14">
        <v>0</v>
      </c>
      <c r="AZ14" s="14"/>
      <c r="BA14" s="14">
        <v>2414.85</v>
      </c>
      <c r="BB14" s="14">
        <f>IFERROR(VLOOKUP(D14,#REF!,2,0),0)</f>
        <v>0</v>
      </c>
      <c r="BC14" s="14" t="e">
        <f>MAX(VLOOKUP(D14,#REF!,13,0)-VLOOKUP(D14,#REF!,14,0),0)</f>
        <v>#REF!</v>
      </c>
      <c r="BD14" s="14">
        <f>IFERROR(VLOOKUP(D14,#REF!,3,0),0)</f>
        <v>0</v>
      </c>
      <c r="BE14" s="14" t="e">
        <f>MAX(VLOOKUP(D14,#REF!,22,0)-VLOOKUP(D14,#REF!,23,0),0)</f>
        <v>#REF!</v>
      </c>
      <c r="BF14" s="14" t="e">
        <f t="shared" si="21"/>
        <v>#REF!</v>
      </c>
      <c r="BG14" s="14" t="e">
        <f t="shared" si="22"/>
        <v>#REF!</v>
      </c>
      <c r="BH14" s="14">
        <v>0</v>
      </c>
      <c r="BI14" s="14"/>
      <c r="BJ14" s="14"/>
      <c r="BK14" s="14">
        <v>0</v>
      </c>
      <c r="BL14" s="14">
        <f t="shared" si="23"/>
        <v>0</v>
      </c>
      <c r="BM14" s="14">
        <f t="shared" si="24"/>
        <v>0</v>
      </c>
      <c r="BN14" s="14">
        <v>0</v>
      </c>
      <c r="BO14" s="14"/>
      <c r="BP14" s="14"/>
      <c r="BQ14" s="14"/>
      <c r="BR14" s="14">
        <v>0</v>
      </c>
      <c r="BS14" s="14"/>
      <c r="BT14" s="14">
        <v>0</v>
      </c>
      <c r="BU14" s="14"/>
      <c r="BV14" s="14">
        <v>0</v>
      </c>
      <c r="BW14" s="14"/>
      <c r="BX14" s="14">
        <v>50285.85</v>
      </c>
      <c r="BY14" s="14">
        <f t="shared" si="25"/>
        <v>50285.85</v>
      </c>
      <c r="BZ14" s="14">
        <f t="shared" si="26"/>
        <v>0</v>
      </c>
      <c r="CA14" s="14">
        <v>47785.85</v>
      </c>
      <c r="CB14" s="14">
        <f t="shared" si="27"/>
        <v>47785.85</v>
      </c>
      <c r="CC14" s="14">
        <f t="shared" si="28"/>
        <v>0</v>
      </c>
      <c r="CD14" s="14">
        <v>0</v>
      </c>
      <c r="CE14" s="14"/>
      <c r="CF14" s="14"/>
      <c r="CG14" s="14">
        <v>0</v>
      </c>
      <c r="CH14" s="14"/>
      <c r="CI14" s="14">
        <v>1573.8409999999999</v>
      </c>
      <c r="CJ14" s="14">
        <v>0.05</v>
      </c>
      <c r="CK14" s="14"/>
      <c r="CL14" s="14">
        <v>0</v>
      </c>
      <c r="CM14" s="14">
        <v>0.1</v>
      </c>
      <c r="CN14" s="14">
        <v>0</v>
      </c>
      <c r="CO14" s="14">
        <v>0</v>
      </c>
      <c r="CP14" s="14">
        <v>0</v>
      </c>
      <c r="CQ14" s="14"/>
      <c r="CR14" s="14">
        <v>0</v>
      </c>
      <c r="CS14" s="14"/>
      <c r="CT14" s="14">
        <v>1500</v>
      </c>
      <c r="CU14" s="14">
        <f t="shared" si="29"/>
        <v>1500</v>
      </c>
      <c r="CV14" s="14">
        <f t="shared" si="30"/>
        <v>0</v>
      </c>
      <c r="CW14" s="14">
        <v>2389.29</v>
      </c>
      <c r="CX14" s="14">
        <f t="shared" si="31"/>
        <v>2389.29</v>
      </c>
      <c r="CY14" s="14">
        <f t="shared" si="32"/>
        <v>0</v>
      </c>
      <c r="CZ14" s="14">
        <v>1500</v>
      </c>
      <c r="DA14" s="14">
        <f t="shared" si="33"/>
        <v>1500</v>
      </c>
      <c r="DB14" s="14">
        <f t="shared" si="34"/>
        <v>0</v>
      </c>
      <c r="DC14" s="14">
        <v>3278.59</v>
      </c>
      <c r="DD14" s="14">
        <f t="shared" si="39"/>
        <v>3278.59</v>
      </c>
      <c r="DE14" s="14">
        <f t="shared" si="35"/>
        <v>0</v>
      </c>
      <c r="DF14" s="14">
        <v>46396.56</v>
      </c>
      <c r="DG14" s="14">
        <f t="shared" si="36"/>
        <v>46396.56</v>
      </c>
      <c r="DH14" s="14">
        <f t="shared" si="37"/>
        <v>0</v>
      </c>
      <c r="DI14" s="14">
        <v>0</v>
      </c>
      <c r="DJ14" s="14">
        <f>IFERROR(VLOOKUP(D14,#REF!,2,0),0)</f>
        <v>0</v>
      </c>
      <c r="DK14" s="14">
        <f t="shared" si="38"/>
        <v>0</v>
      </c>
      <c r="DL14" s="14">
        <v>47785.85</v>
      </c>
      <c r="DM14" s="14">
        <v>779433.25</v>
      </c>
      <c r="DN14" s="14">
        <v>3780.92</v>
      </c>
      <c r="DO14" s="14">
        <v>2414.85</v>
      </c>
      <c r="DP14" s="14">
        <v>0</v>
      </c>
      <c r="DQ14" s="14">
        <v>50285.85</v>
      </c>
      <c r="DR14" s="14">
        <v>28</v>
      </c>
      <c r="DS14" s="14">
        <v>0</v>
      </c>
      <c r="DT14" s="5" t="s">
        <v>206</v>
      </c>
      <c r="DU14" s="5" t="s">
        <v>195</v>
      </c>
      <c r="DV14" s="5" t="s">
        <v>196</v>
      </c>
      <c r="DW14" s="5" t="s">
        <v>197</v>
      </c>
    </row>
    <row r="15" spans="1:127" ht="16.5">
      <c r="A15" s="5" t="s">
        <v>184</v>
      </c>
      <c r="B15" s="5" t="s">
        <v>147</v>
      </c>
      <c r="C15" s="5" t="s">
        <v>148</v>
      </c>
      <c r="D15" s="5" t="s">
        <v>278</v>
      </c>
      <c r="E15" s="5" t="e">
        <f>VLOOKUP(D15,#REF!,1,0)</f>
        <v>#REF!</v>
      </c>
      <c r="F15" s="5" t="s">
        <v>279</v>
      </c>
      <c r="G15" s="5" t="s">
        <v>280</v>
      </c>
      <c r="H15" s="5" t="str">
        <f t="shared" si="0"/>
        <v>Nga Man Lin</v>
      </c>
      <c r="I15" s="5" t="e">
        <f>VLOOKUP(D15,#REF!,9,0)</f>
        <v>#REF!</v>
      </c>
      <c r="J15" s="5" t="e">
        <f t="shared" si="1"/>
        <v>#REF!</v>
      </c>
      <c r="K15" s="5" t="s">
        <v>281</v>
      </c>
      <c r="L15" s="5" t="s">
        <v>151</v>
      </c>
      <c r="M15" s="5" t="s">
        <v>282</v>
      </c>
      <c r="N15" s="10" t="e">
        <f>VLOOKUP(D15,#REF!,80,0)</f>
        <v>#REF!</v>
      </c>
      <c r="O15" s="11" t="e">
        <f t="shared" si="11"/>
        <v>#REF!</v>
      </c>
      <c r="P15" s="5" t="s">
        <v>203</v>
      </c>
      <c r="Q15" s="5" t="e">
        <f>VLOOKUP(D15,#REF!,50,0)</f>
        <v>#REF!</v>
      </c>
      <c r="R15" s="5" t="e">
        <f t="shared" si="12"/>
        <v>#REF!</v>
      </c>
      <c r="S15" s="5" t="s">
        <v>283</v>
      </c>
      <c r="T15" s="5" t="e">
        <f>VLOOKUP(D15,#REF!,21,0)</f>
        <v>#REF!</v>
      </c>
      <c r="U15" s="5" t="e">
        <f t="shared" si="13"/>
        <v>#REF!</v>
      </c>
      <c r="V15" s="5" t="s">
        <v>205</v>
      </c>
      <c r="W15" s="5" t="e">
        <f>VLOOKUP(D15,#REF!,51,0)</f>
        <v>#REF!</v>
      </c>
      <c r="X15" s="5" t="e">
        <f t="shared" si="14"/>
        <v>#REF!</v>
      </c>
      <c r="Y15" s="5" t="s">
        <v>192</v>
      </c>
      <c r="Z15" s="5" t="s">
        <v>193</v>
      </c>
      <c r="AA15" s="14">
        <v>2.23</v>
      </c>
      <c r="AB15" s="14">
        <v>47493</v>
      </c>
      <c r="AC15" s="14" t="e">
        <f>ROUND(VLOOKUP(D15,#REF!,59,0),0)</f>
        <v>#REF!</v>
      </c>
      <c r="AD15" s="14" t="e">
        <f t="shared" si="40"/>
        <v>#REF!</v>
      </c>
      <c r="AE15" s="14">
        <v>47493</v>
      </c>
      <c r="AF15" s="14">
        <f t="shared" si="41"/>
        <v>47493</v>
      </c>
      <c r="AG15" s="14">
        <f t="shared" si="42"/>
        <v>0</v>
      </c>
      <c r="AH15" s="14">
        <v>0</v>
      </c>
      <c r="AI15" s="14"/>
      <c r="AJ15" s="14"/>
      <c r="AK15" s="14">
        <v>0</v>
      </c>
      <c r="AL15" s="14"/>
      <c r="AM15" s="14"/>
      <c r="AN15" s="14">
        <v>0</v>
      </c>
      <c r="AO15" s="14">
        <v>0</v>
      </c>
      <c r="AP15" s="14">
        <f>IFERROR(VLOOKUP('Feb for check'!D15,#REF!,15,0),0)</f>
        <v>0</v>
      </c>
      <c r="AQ15" s="14">
        <f t="shared" si="18"/>
        <v>0</v>
      </c>
      <c r="AR15" s="14">
        <v>0</v>
      </c>
      <c r="AS15" s="14">
        <f t="shared" si="19"/>
        <v>0</v>
      </c>
      <c r="AT15" s="14">
        <f t="shared" si="20"/>
        <v>0</v>
      </c>
      <c r="AU15" s="14">
        <v>0</v>
      </c>
      <c r="AV15" s="14"/>
      <c r="AW15" s="14">
        <v>0</v>
      </c>
      <c r="AX15" s="14"/>
      <c r="AY15" s="14">
        <v>0</v>
      </c>
      <c r="AZ15" s="14"/>
      <c r="BA15" s="14">
        <v>0</v>
      </c>
      <c r="BB15" s="14">
        <f>IFERROR(VLOOKUP(D15,#REF!,2,0),0)</f>
        <v>0</v>
      </c>
      <c r="BC15" s="14" t="e">
        <f>MAX(VLOOKUP(D15,#REF!,13,0)-VLOOKUP(D15,#REF!,14,0),0)</f>
        <v>#REF!</v>
      </c>
      <c r="BD15" s="14">
        <f>IFERROR(VLOOKUP(D15,#REF!,3,0),0)</f>
        <v>0</v>
      </c>
      <c r="BE15" s="14" t="e">
        <f>MAX(VLOOKUP(D15,#REF!,22,0)-VLOOKUP(D15,#REF!,23,0),0)</f>
        <v>#REF!</v>
      </c>
      <c r="BF15" s="14" t="e">
        <f t="shared" si="21"/>
        <v>#REF!</v>
      </c>
      <c r="BG15" s="14" t="e">
        <f t="shared" si="22"/>
        <v>#REF!</v>
      </c>
      <c r="BH15" s="14">
        <v>0</v>
      </c>
      <c r="BI15" s="14"/>
      <c r="BJ15" s="14"/>
      <c r="BK15" s="14">
        <v>0</v>
      </c>
      <c r="BL15" s="14">
        <f t="shared" si="23"/>
        <v>0</v>
      </c>
      <c r="BM15" s="14">
        <f t="shared" si="24"/>
        <v>0</v>
      </c>
      <c r="BN15" s="14">
        <v>0</v>
      </c>
      <c r="BO15" s="14"/>
      <c r="BP15" s="14"/>
      <c r="BQ15" s="14"/>
      <c r="BR15" s="14">
        <v>0</v>
      </c>
      <c r="BS15" s="14"/>
      <c r="BT15" s="14">
        <v>0</v>
      </c>
      <c r="BU15" s="14"/>
      <c r="BV15" s="14">
        <v>0</v>
      </c>
      <c r="BW15" s="14"/>
      <c r="BX15" s="14">
        <v>47493</v>
      </c>
      <c r="BY15" s="14">
        <f t="shared" si="25"/>
        <v>47493</v>
      </c>
      <c r="BZ15" s="14">
        <f t="shared" si="26"/>
        <v>0</v>
      </c>
      <c r="CA15" s="14">
        <v>47493</v>
      </c>
      <c r="CB15" s="14">
        <f t="shared" si="27"/>
        <v>47493</v>
      </c>
      <c r="CC15" s="14">
        <f t="shared" si="28"/>
        <v>0</v>
      </c>
      <c r="CD15" s="14">
        <v>0</v>
      </c>
      <c r="CE15" s="14"/>
      <c r="CF15" s="14"/>
      <c r="CG15" s="14">
        <v>0</v>
      </c>
      <c r="CH15" s="14"/>
      <c r="CI15" s="14">
        <v>1561.4136000000001</v>
      </c>
      <c r="CJ15" s="14">
        <v>0</v>
      </c>
      <c r="CK15" s="14"/>
      <c r="CL15" s="14">
        <v>0</v>
      </c>
      <c r="CM15" s="14">
        <v>7.4999999999999997E-2</v>
      </c>
      <c r="CN15" s="14">
        <v>0</v>
      </c>
      <c r="CO15" s="14">
        <v>0</v>
      </c>
      <c r="CP15" s="14">
        <v>0</v>
      </c>
      <c r="CQ15" s="14"/>
      <c r="CR15" s="14">
        <v>0</v>
      </c>
      <c r="CS15" s="14"/>
      <c r="CT15" s="14">
        <v>1500</v>
      </c>
      <c r="CU15" s="14">
        <f t="shared" si="29"/>
        <v>1500</v>
      </c>
      <c r="CV15" s="14">
        <f t="shared" si="30"/>
        <v>0</v>
      </c>
      <c r="CW15" s="14">
        <v>0</v>
      </c>
      <c r="CX15" s="14">
        <f t="shared" si="31"/>
        <v>0</v>
      </c>
      <c r="CY15" s="14">
        <f t="shared" si="32"/>
        <v>0</v>
      </c>
      <c r="CZ15" s="14">
        <v>1500</v>
      </c>
      <c r="DA15" s="14">
        <f t="shared" si="33"/>
        <v>1500</v>
      </c>
      <c r="DB15" s="14">
        <f t="shared" si="34"/>
        <v>0</v>
      </c>
      <c r="DC15" s="14">
        <v>2061.98</v>
      </c>
      <c r="DD15" s="14">
        <f t="shared" si="39"/>
        <v>2061.98</v>
      </c>
      <c r="DE15" s="14">
        <f t="shared" si="35"/>
        <v>0</v>
      </c>
      <c r="DF15" s="14">
        <v>45993</v>
      </c>
      <c r="DG15" s="14">
        <f t="shared" si="36"/>
        <v>45993</v>
      </c>
      <c r="DH15" s="14">
        <f t="shared" si="37"/>
        <v>0</v>
      </c>
      <c r="DI15" s="14">
        <v>0</v>
      </c>
      <c r="DJ15" s="14">
        <f>IFERROR(VLOOKUP(D15,#REF!,2,0),0)</f>
        <v>0</v>
      </c>
      <c r="DK15" s="14">
        <f t="shared" si="38"/>
        <v>0</v>
      </c>
      <c r="DL15" s="14">
        <v>47493</v>
      </c>
      <c r="DM15" s="14">
        <v>796842.14</v>
      </c>
      <c r="DN15" s="14">
        <v>3957.75</v>
      </c>
      <c r="DO15" s="14">
        <v>0</v>
      </c>
      <c r="DP15" s="14">
        <v>0</v>
      </c>
      <c r="DQ15" s="14">
        <v>47493</v>
      </c>
      <c r="DR15" s="14">
        <v>28</v>
      </c>
      <c r="DS15" s="14">
        <v>0</v>
      </c>
      <c r="DT15" s="5" t="s">
        <v>206</v>
      </c>
      <c r="DU15" s="5" t="s">
        <v>195</v>
      </c>
      <c r="DV15" s="5" t="s">
        <v>196</v>
      </c>
      <c r="DW15" s="5" t="s">
        <v>197</v>
      </c>
    </row>
    <row r="16" spans="1:127" ht="16.5">
      <c r="A16" s="5" t="s">
        <v>184</v>
      </c>
      <c r="B16" s="5" t="s">
        <v>147</v>
      </c>
      <c r="C16" s="5" t="s">
        <v>148</v>
      </c>
      <c r="D16" s="5" t="s">
        <v>284</v>
      </c>
      <c r="E16" s="5" t="e">
        <f>VLOOKUP(D16,#REF!,1,0)</f>
        <v>#REF!</v>
      </c>
      <c r="F16" s="5" t="s">
        <v>285</v>
      </c>
      <c r="G16" s="5" t="s">
        <v>286</v>
      </c>
      <c r="H16" s="5" t="str">
        <f t="shared" si="0"/>
        <v>Woon See Claudia Wan</v>
      </c>
      <c r="I16" s="5" t="e">
        <f>VLOOKUP(D16,#REF!,9,0)</f>
        <v>#REF!</v>
      </c>
      <c r="J16" s="5" t="e">
        <f t="shared" si="1"/>
        <v>#REF!</v>
      </c>
      <c r="K16" s="5"/>
      <c r="L16" s="5" t="s">
        <v>151</v>
      </c>
      <c r="M16" s="5" t="s">
        <v>287</v>
      </c>
      <c r="N16" s="10" t="e">
        <f>VLOOKUP(D16,#REF!,80,0)</f>
        <v>#REF!</v>
      </c>
      <c r="O16" s="11" t="e">
        <f t="shared" si="11"/>
        <v>#REF!</v>
      </c>
      <c r="P16" s="5" t="s">
        <v>203</v>
      </c>
      <c r="Q16" s="5" t="e">
        <f>VLOOKUP(D16,#REF!,50,0)</f>
        <v>#REF!</v>
      </c>
      <c r="R16" s="5" t="e">
        <f t="shared" si="12"/>
        <v>#REF!</v>
      </c>
      <c r="S16" s="5" t="s">
        <v>288</v>
      </c>
      <c r="T16" s="5" t="e">
        <f>VLOOKUP(D16,#REF!,21,0)</f>
        <v>#REF!</v>
      </c>
      <c r="U16" s="5" t="e">
        <f t="shared" si="13"/>
        <v>#REF!</v>
      </c>
      <c r="V16" s="5" t="s">
        <v>205</v>
      </c>
      <c r="W16" s="5" t="e">
        <f>VLOOKUP(D16,#REF!,51,0)</f>
        <v>#REF!</v>
      </c>
      <c r="X16" s="5" t="e">
        <f t="shared" si="14"/>
        <v>#REF!</v>
      </c>
      <c r="Y16" s="5" t="s">
        <v>192</v>
      </c>
      <c r="Z16" s="5" t="s">
        <v>193</v>
      </c>
      <c r="AA16" s="14">
        <v>0.8</v>
      </c>
      <c r="AB16" s="14">
        <v>29000</v>
      </c>
      <c r="AC16" s="14" t="e">
        <f>ROUND(VLOOKUP(D16,#REF!,59,0),0)</f>
        <v>#REF!</v>
      </c>
      <c r="AD16" s="14" t="e">
        <f t="shared" si="40"/>
        <v>#REF!</v>
      </c>
      <c r="AE16" s="14">
        <v>29000</v>
      </c>
      <c r="AF16" s="14">
        <f t="shared" si="41"/>
        <v>29000</v>
      </c>
      <c r="AG16" s="14">
        <f t="shared" si="42"/>
        <v>0</v>
      </c>
      <c r="AH16" s="14">
        <v>0</v>
      </c>
      <c r="AI16" s="14"/>
      <c r="AJ16" s="14"/>
      <c r="AK16" s="14">
        <v>0</v>
      </c>
      <c r="AL16" s="14"/>
      <c r="AM16" s="14"/>
      <c r="AN16" s="14">
        <v>0</v>
      </c>
      <c r="AO16" s="14">
        <v>0</v>
      </c>
      <c r="AP16" s="14">
        <f>IFERROR(VLOOKUP('Feb for check'!D16,#REF!,15,0),0)</f>
        <v>0</v>
      </c>
      <c r="AQ16" s="14">
        <f t="shared" si="18"/>
        <v>0</v>
      </c>
      <c r="AR16" s="14">
        <v>0</v>
      </c>
      <c r="AS16" s="14">
        <f t="shared" si="19"/>
        <v>0</v>
      </c>
      <c r="AT16" s="14">
        <f t="shared" si="20"/>
        <v>0</v>
      </c>
      <c r="AU16" s="14">
        <v>0</v>
      </c>
      <c r="AV16" s="14"/>
      <c r="AW16" s="14">
        <v>0</v>
      </c>
      <c r="AX16" s="14"/>
      <c r="AY16" s="14">
        <v>0</v>
      </c>
      <c r="AZ16" s="14"/>
      <c r="BA16" s="14">
        <v>0</v>
      </c>
      <c r="BB16" s="14">
        <f>IFERROR(VLOOKUP(D16,#REF!,2,0),0)</f>
        <v>0</v>
      </c>
      <c r="BC16" s="14" t="e">
        <f>MAX(VLOOKUP(D16,#REF!,13,0)-VLOOKUP(D16,#REF!,14,0),0)</f>
        <v>#REF!</v>
      </c>
      <c r="BD16" s="14">
        <f>IFERROR(VLOOKUP(D16,#REF!,3,0),0)</f>
        <v>0</v>
      </c>
      <c r="BE16" s="14" t="e">
        <f>MAX(VLOOKUP(D16,#REF!,22,0)-VLOOKUP(D16,#REF!,23,0),0)</f>
        <v>#REF!</v>
      </c>
      <c r="BF16" s="14" t="e">
        <f t="shared" si="21"/>
        <v>#REF!</v>
      </c>
      <c r="BG16" s="14" t="e">
        <f t="shared" si="22"/>
        <v>#REF!</v>
      </c>
      <c r="BH16" s="14">
        <v>0</v>
      </c>
      <c r="BI16" s="14"/>
      <c r="BJ16" s="14"/>
      <c r="BK16" s="14">
        <v>0</v>
      </c>
      <c r="BL16" s="14">
        <f t="shared" si="23"/>
        <v>0</v>
      </c>
      <c r="BM16" s="14">
        <f t="shared" si="24"/>
        <v>0</v>
      </c>
      <c r="BN16" s="14">
        <v>0</v>
      </c>
      <c r="BO16" s="14"/>
      <c r="BP16" s="14"/>
      <c r="BQ16" s="14"/>
      <c r="BR16" s="14">
        <v>0</v>
      </c>
      <c r="BS16" s="14"/>
      <c r="BT16" s="14">
        <v>0</v>
      </c>
      <c r="BU16" s="14"/>
      <c r="BV16" s="14">
        <v>0</v>
      </c>
      <c r="BW16" s="14"/>
      <c r="BX16" s="14">
        <v>29000</v>
      </c>
      <c r="BY16" s="14">
        <f t="shared" si="25"/>
        <v>29000</v>
      </c>
      <c r="BZ16" s="14">
        <f t="shared" si="26"/>
        <v>0</v>
      </c>
      <c r="CA16" s="14">
        <v>29000</v>
      </c>
      <c r="CB16" s="14">
        <f t="shared" si="27"/>
        <v>29000</v>
      </c>
      <c r="CC16" s="14">
        <f t="shared" si="28"/>
        <v>0</v>
      </c>
      <c r="CD16" s="14">
        <v>0</v>
      </c>
      <c r="CE16" s="14"/>
      <c r="CF16" s="14"/>
      <c r="CG16" s="14">
        <v>0</v>
      </c>
      <c r="CH16" s="14"/>
      <c r="CI16" s="14">
        <v>953.42460000000005</v>
      </c>
      <c r="CJ16" s="14">
        <v>0</v>
      </c>
      <c r="CK16" s="14"/>
      <c r="CL16" s="14">
        <v>0</v>
      </c>
      <c r="CM16" s="14">
        <v>7.4999999999999997E-2</v>
      </c>
      <c r="CN16" s="14">
        <v>0</v>
      </c>
      <c r="CO16" s="14">
        <v>0</v>
      </c>
      <c r="CP16" s="14">
        <v>0</v>
      </c>
      <c r="CQ16" s="14"/>
      <c r="CR16" s="14">
        <v>0</v>
      </c>
      <c r="CS16" s="14"/>
      <c r="CT16" s="14">
        <v>1450</v>
      </c>
      <c r="CU16" s="14">
        <f t="shared" si="29"/>
        <v>1450</v>
      </c>
      <c r="CV16" s="14">
        <f t="shared" si="30"/>
        <v>0</v>
      </c>
      <c r="CW16" s="14">
        <v>0</v>
      </c>
      <c r="CX16" s="14">
        <f t="shared" si="31"/>
        <v>0</v>
      </c>
      <c r="CY16" s="14">
        <f t="shared" si="32"/>
        <v>0</v>
      </c>
      <c r="CZ16" s="14">
        <v>1450</v>
      </c>
      <c r="DA16" s="14">
        <f t="shared" si="33"/>
        <v>1450</v>
      </c>
      <c r="DB16" s="14">
        <f t="shared" si="34"/>
        <v>0</v>
      </c>
      <c r="DC16" s="14">
        <v>725</v>
      </c>
      <c r="DD16" s="14">
        <f t="shared" si="39"/>
        <v>725</v>
      </c>
      <c r="DE16" s="14">
        <f t="shared" si="35"/>
        <v>0</v>
      </c>
      <c r="DF16" s="14">
        <v>27550</v>
      </c>
      <c r="DG16" s="14">
        <f t="shared" si="36"/>
        <v>27550</v>
      </c>
      <c r="DH16" s="14">
        <f t="shared" si="37"/>
        <v>0</v>
      </c>
      <c r="DI16" s="14">
        <v>0</v>
      </c>
      <c r="DJ16" s="14">
        <f>IFERROR(VLOOKUP(D16,#REF!,2,0),0)</f>
        <v>0</v>
      </c>
      <c r="DK16" s="14">
        <f t="shared" si="38"/>
        <v>0</v>
      </c>
      <c r="DL16" s="14">
        <v>29000</v>
      </c>
      <c r="DM16" s="14">
        <v>297797.81</v>
      </c>
      <c r="DN16" s="14">
        <v>2416.67</v>
      </c>
      <c r="DO16" s="14">
        <v>0</v>
      </c>
      <c r="DP16" s="14">
        <v>0</v>
      </c>
      <c r="DQ16" s="14">
        <v>29000</v>
      </c>
      <c r="DR16" s="14">
        <v>28</v>
      </c>
      <c r="DS16" s="14">
        <v>0</v>
      </c>
      <c r="DT16" s="5" t="s">
        <v>206</v>
      </c>
      <c r="DU16" s="5" t="s">
        <v>195</v>
      </c>
      <c r="DV16" s="5" t="s">
        <v>196</v>
      </c>
      <c r="DW16" s="5" t="s">
        <v>197</v>
      </c>
    </row>
    <row r="17" spans="1:127" ht="16.5">
      <c r="A17" s="5" t="s">
        <v>184</v>
      </c>
      <c r="B17" s="5" t="s">
        <v>147</v>
      </c>
      <c r="C17" s="5" t="s">
        <v>148</v>
      </c>
      <c r="D17" s="5" t="s">
        <v>289</v>
      </c>
      <c r="E17" s="5" t="e">
        <f>VLOOKUP(D17,#REF!,1,0)</f>
        <v>#REF!</v>
      </c>
      <c r="F17" s="5" t="s">
        <v>290</v>
      </c>
      <c r="G17" s="5" t="s">
        <v>291</v>
      </c>
      <c r="H17" s="5" t="str">
        <f t="shared" si="0"/>
        <v>Hoi Yan Iu</v>
      </c>
      <c r="I17" s="5" t="e">
        <f>VLOOKUP(D17,#REF!,9,0)</f>
        <v>#REF!</v>
      </c>
      <c r="J17" s="5" t="e">
        <f t="shared" si="1"/>
        <v>#REF!</v>
      </c>
      <c r="K17" s="5" t="s">
        <v>292</v>
      </c>
      <c r="L17" s="5" t="s">
        <v>151</v>
      </c>
      <c r="M17" s="5" t="s">
        <v>293</v>
      </c>
      <c r="N17" s="10" t="e">
        <f>VLOOKUP(D17,#REF!,80,0)</f>
        <v>#REF!</v>
      </c>
      <c r="O17" s="11" t="e">
        <f t="shared" si="11"/>
        <v>#REF!</v>
      </c>
      <c r="P17" s="5" t="s">
        <v>260</v>
      </c>
      <c r="Q17" s="5" t="e">
        <f>VLOOKUP(D17,#REF!,50,0)</f>
        <v>#REF!</v>
      </c>
      <c r="R17" s="5" t="e">
        <f t="shared" si="12"/>
        <v>#REF!</v>
      </c>
      <c r="S17" s="5" t="s">
        <v>294</v>
      </c>
      <c r="T17" s="5" t="e">
        <f>VLOOKUP(D17,#REF!,21,0)</f>
        <v>#REF!</v>
      </c>
      <c r="U17" s="5" t="e">
        <f t="shared" si="13"/>
        <v>#REF!</v>
      </c>
      <c r="V17" s="5" t="s">
        <v>262</v>
      </c>
      <c r="W17" s="5" t="e">
        <f>VLOOKUP(D17,#REF!,51,0)</f>
        <v>#REF!</v>
      </c>
      <c r="X17" s="5" t="e">
        <f t="shared" si="14"/>
        <v>#REF!</v>
      </c>
      <c r="Y17" s="5" t="s">
        <v>192</v>
      </c>
      <c r="Z17" s="5" t="s">
        <v>193</v>
      </c>
      <c r="AA17" s="14">
        <v>13.22</v>
      </c>
      <c r="AB17" s="14">
        <v>55161</v>
      </c>
      <c r="AC17" s="14" t="e">
        <f>ROUND(VLOOKUP(D17,#REF!,59,0),0)</f>
        <v>#REF!</v>
      </c>
      <c r="AD17" s="14" t="e">
        <f t="shared" si="40"/>
        <v>#REF!</v>
      </c>
      <c r="AE17" s="14">
        <v>55161</v>
      </c>
      <c r="AF17" s="14">
        <f t="shared" si="41"/>
        <v>55161</v>
      </c>
      <c r="AG17" s="14">
        <f t="shared" si="42"/>
        <v>0</v>
      </c>
      <c r="AH17" s="14">
        <v>0</v>
      </c>
      <c r="AI17" s="14"/>
      <c r="AJ17" s="14"/>
      <c r="AK17" s="14">
        <v>0</v>
      </c>
      <c r="AL17" s="14"/>
      <c r="AM17" s="14"/>
      <c r="AN17" s="14">
        <v>0</v>
      </c>
      <c r="AO17" s="14">
        <v>0</v>
      </c>
      <c r="AP17" s="14">
        <f>IFERROR(VLOOKUP('Feb for check'!D17,#REF!,15,0),0)</f>
        <v>0</v>
      </c>
      <c r="AQ17" s="14">
        <f t="shared" si="18"/>
        <v>0</v>
      </c>
      <c r="AR17" s="14">
        <v>0</v>
      </c>
      <c r="AS17" s="14">
        <f t="shared" si="19"/>
        <v>0</v>
      </c>
      <c r="AT17" s="14">
        <f t="shared" si="20"/>
        <v>0</v>
      </c>
      <c r="AU17" s="14">
        <v>0</v>
      </c>
      <c r="AV17" s="14"/>
      <c r="AW17" s="14">
        <v>0</v>
      </c>
      <c r="AX17" s="14"/>
      <c r="AY17" s="14">
        <v>0</v>
      </c>
      <c r="AZ17" s="14"/>
      <c r="BA17" s="14">
        <v>299.60000000000002</v>
      </c>
      <c r="BB17" s="14">
        <f>IFERROR(VLOOKUP(D17,#REF!,2,0),0)</f>
        <v>0</v>
      </c>
      <c r="BC17" s="14" t="e">
        <f>MAX(VLOOKUP(D17,#REF!,13,0)-VLOOKUP(D17,#REF!,14,0),0)</f>
        <v>#REF!</v>
      </c>
      <c r="BD17" s="14">
        <f>IFERROR(VLOOKUP(D17,#REF!,3,0),0)</f>
        <v>0</v>
      </c>
      <c r="BE17" s="14" t="e">
        <f>MAX(VLOOKUP(D17,#REF!,22,0)-VLOOKUP(D17,#REF!,23,0),0)</f>
        <v>#REF!</v>
      </c>
      <c r="BF17" s="14" t="e">
        <f t="shared" si="21"/>
        <v>#REF!</v>
      </c>
      <c r="BG17" s="14" t="e">
        <f t="shared" si="22"/>
        <v>#REF!</v>
      </c>
      <c r="BH17" s="14">
        <v>0</v>
      </c>
      <c r="BI17" s="14"/>
      <c r="BJ17" s="14"/>
      <c r="BK17" s="14">
        <v>0</v>
      </c>
      <c r="BL17" s="14">
        <f t="shared" si="23"/>
        <v>0</v>
      </c>
      <c r="BM17" s="14">
        <f t="shared" si="24"/>
        <v>0</v>
      </c>
      <c r="BN17" s="14">
        <v>0</v>
      </c>
      <c r="BO17" s="14"/>
      <c r="BP17" s="14"/>
      <c r="BQ17" s="14"/>
      <c r="BR17" s="14">
        <v>0</v>
      </c>
      <c r="BS17" s="14"/>
      <c r="BT17" s="14">
        <v>0</v>
      </c>
      <c r="BU17" s="14"/>
      <c r="BV17" s="14">
        <v>0</v>
      </c>
      <c r="BW17" s="14"/>
      <c r="BX17" s="14">
        <v>55460.6</v>
      </c>
      <c r="BY17" s="14">
        <f t="shared" si="25"/>
        <v>55460.6</v>
      </c>
      <c r="BZ17" s="14">
        <f t="shared" si="26"/>
        <v>0</v>
      </c>
      <c r="CA17" s="14">
        <v>55460.6</v>
      </c>
      <c r="CB17" s="14">
        <f t="shared" si="27"/>
        <v>55460.6</v>
      </c>
      <c r="CC17" s="14">
        <f t="shared" si="28"/>
        <v>0</v>
      </c>
      <c r="CD17" s="14">
        <v>0</v>
      </c>
      <c r="CE17" s="14"/>
      <c r="CF17" s="14"/>
      <c r="CG17" s="14">
        <v>0</v>
      </c>
      <c r="CH17" s="14"/>
      <c r="CI17" s="14">
        <v>1813.5123000000001</v>
      </c>
      <c r="CJ17" s="14">
        <v>0</v>
      </c>
      <c r="CK17" s="14"/>
      <c r="CL17" s="14">
        <v>0</v>
      </c>
      <c r="CM17" s="14">
        <v>7.4999999999999997E-2</v>
      </c>
      <c r="CN17" s="14">
        <v>0</v>
      </c>
      <c r="CO17" s="14">
        <v>0</v>
      </c>
      <c r="CP17" s="14">
        <v>0</v>
      </c>
      <c r="CQ17" s="14"/>
      <c r="CR17" s="14">
        <v>0</v>
      </c>
      <c r="CS17" s="14"/>
      <c r="CT17" s="14">
        <v>1500</v>
      </c>
      <c r="CU17" s="14">
        <f t="shared" si="29"/>
        <v>1500</v>
      </c>
      <c r="CV17" s="14">
        <f t="shared" si="30"/>
        <v>0</v>
      </c>
      <c r="CW17" s="14">
        <v>0</v>
      </c>
      <c r="CX17" s="14">
        <f t="shared" si="31"/>
        <v>0</v>
      </c>
      <c r="CY17" s="14">
        <f t="shared" si="32"/>
        <v>0</v>
      </c>
      <c r="CZ17" s="14">
        <v>1500</v>
      </c>
      <c r="DA17" s="14">
        <f t="shared" si="33"/>
        <v>1500</v>
      </c>
      <c r="DB17" s="14">
        <f t="shared" si="34"/>
        <v>0</v>
      </c>
      <c r="DC17" s="14">
        <v>2659.55</v>
      </c>
      <c r="DD17" s="14">
        <f t="shared" si="39"/>
        <v>2659.55</v>
      </c>
      <c r="DE17" s="14">
        <f t="shared" si="35"/>
        <v>0</v>
      </c>
      <c r="DF17" s="14">
        <v>53960.6</v>
      </c>
      <c r="DG17" s="14">
        <f t="shared" si="36"/>
        <v>53960.6</v>
      </c>
      <c r="DH17" s="14">
        <f t="shared" si="37"/>
        <v>0</v>
      </c>
      <c r="DI17" s="14">
        <v>0</v>
      </c>
      <c r="DJ17" s="14">
        <f>IFERROR(VLOOKUP(D17,#REF!,2,0),0)</f>
        <v>0</v>
      </c>
      <c r="DK17" s="14">
        <f t="shared" si="38"/>
        <v>0</v>
      </c>
      <c r="DL17" s="14">
        <v>55460.6</v>
      </c>
      <c r="DM17" s="14">
        <v>947197.43</v>
      </c>
      <c r="DN17" s="14">
        <v>4596.75</v>
      </c>
      <c r="DO17" s="14">
        <v>299.60000000000002</v>
      </c>
      <c r="DP17" s="14">
        <v>0</v>
      </c>
      <c r="DQ17" s="14">
        <v>55460.6</v>
      </c>
      <c r="DR17" s="14">
        <v>28</v>
      </c>
      <c r="DS17" s="14">
        <v>0</v>
      </c>
      <c r="DT17" s="5" t="s">
        <v>206</v>
      </c>
      <c r="DU17" s="5" t="s">
        <v>195</v>
      </c>
      <c r="DV17" s="5" t="s">
        <v>196</v>
      </c>
      <c r="DW17" s="5" t="s">
        <v>197</v>
      </c>
    </row>
    <row r="18" spans="1:127" ht="16.5">
      <c r="A18" s="5" t="s">
        <v>184</v>
      </c>
      <c r="B18" s="5" t="s">
        <v>147</v>
      </c>
      <c r="C18" s="5" t="s">
        <v>148</v>
      </c>
      <c r="D18" s="5" t="s">
        <v>295</v>
      </c>
      <c r="E18" s="5" t="e">
        <f>VLOOKUP(D18,#REF!,1,0)</f>
        <v>#REF!</v>
      </c>
      <c r="F18" s="5" t="s">
        <v>296</v>
      </c>
      <c r="G18" s="5" t="s">
        <v>297</v>
      </c>
      <c r="H18" s="5" t="str">
        <f t="shared" si="0"/>
        <v>Ching Ha Pamela Choi</v>
      </c>
      <c r="I18" s="5" t="e">
        <f>VLOOKUP(D18,#REF!,9,0)</f>
        <v>#REF!</v>
      </c>
      <c r="J18" s="5" t="e">
        <f t="shared" si="1"/>
        <v>#REF!</v>
      </c>
      <c r="K18" s="5" t="s">
        <v>266</v>
      </c>
      <c r="L18" s="5" t="s">
        <v>151</v>
      </c>
      <c r="M18" s="5" t="s">
        <v>298</v>
      </c>
      <c r="N18" s="10" t="e">
        <f>VLOOKUP(D18,#REF!,80,0)</f>
        <v>#REF!</v>
      </c>
      <c r="O18" s="11" t="e">
        <f t="shared" si="11"/>
        <v>#REF!</v>
      </c>
      <c r="P18" s="5" t="s">
        <v>260</v>
      </c>
      <c r="Q18" s="5" t="e">
        <f>VLOOKUP(D18,#REF!,50,0)</f>
        <v>#REF!</v>
      </c>
      <c r="R18" s="5" t="e">
        <f t="shared" si="12"/>
        <v>#REF!</v>
      </c>
      <c r="S18" s="5" t="s">
        <v>299</v>
      </c>
      <c r="T18" s="5" t="e">
        <f>VLOOKUP(D18,#REF!,21,0)</f>
        <v>#REF!</v>
      </c>
      <c r="U18" s="5" t="e">
        <f t="shared" si="13"/>
        <v>#REF!</v>
      </c>
      <c r="V18" s="5" t="s">
        <v>262</v>
      </c>
      <c r="W18" s="5" t="e">
        <f>VLOOKUP(D18,#REF!,51,0)</f>
        <v>#REF!</v>
      </c>
      <c r="X18" s="5" t="e">
        <f t="shared" si="14"/>
        <v>#REF!</v>
      </c>
      <c r="Y18" s="5" t="s">
        <v>192</v>
      </c>
      <c r="Z18" s="5" t="s">
        <v>193</v>
      </c>
      <c r="AA18" s="14">
        <v>1.1599999999999999</v>
      </c>
      <c r="AB18" s="14">
        <v>34000</v>
      </c>
      <c r="AC18" s="14" t="e">
        <f>ROUND(VLOOKUP(D18,#REF!,59,0),0)</f>
        <v>#REF!</v>
      </c>
      <c r="AD18" s="14" t="e">
        <f t="shared" si="40"/>
        <v>#REF!</v>
      </c>
      <c r="AE18" s="14">
        <v>34000</v>
      </c>
      <c r="AF18" s="14">
        <f t="shared" si="41"/>
        <v>34000</v>
      </c>
      <c r="AG18" s="14">
        <f t="shared" si="42"/>
        <v>0</v>
      </c>
      <c r="AH18" s="14">
        <v>0</v>
      </c>
      <c r="AI18" s="14"/>
      <c r="AJ18" s="14"/>
      <c r="AK18" s="14">
        <v>0</v>
      </c>
      <c r="AL18" s="14"/>
      <c r="AM18" s="14"/>
      <c r="AN18" s="14">
        <v>0</v>
      </c>
      <c r="AO18" s="14">
        <v>0</v>
      </c>
      <c r="AP18" s="14">
        <f>IFERROR(VLOOKUP('Feb for check'!D18,#REF!,15,0),0)</f>
        <v>0</v>
      </c>
      <c r="AQ18" s="14">
        <f t="shared" si="18"/>
        <v>0</v>
      </c>
      <c r="AR18" s="14">
        <v>0</v>
      </c>
      <c r="AS18" s="14">
        <f t="shared" si="19"/>
        <v>0</v>
      </c>
      <c r="AT18" s="14">
        <f t="shared" si="20"/>
        <v>0</v>
      </c>
      <c r="AU18" s="14">
        <v>0</v>
      </c>
      <c r="AV18" s="14"/>
      <c r="AW18" s="14">
        <v>0</v>
      </c>
      <c r="AX18" s="14"/>
      <c r="AY18" s="14">
        <v>0</v>
      </c>
      <c r="AZ18" s="14"/>
      <c r="BA18" s="14">
        <v>9.4600000000000009</v>
      </c>
      <c r="BB18" s="14">
        <f>IFERROR(VLOOKUP(D18,#REF!,2,0),0)</f>
        <v>0</v>
      </c>
      <c r="BC18" s="14" t="e">
        <f>MAX(VLOOKUP(D18,#REF!,13,0)-VLOOKUP(D18,#REF!,14,0),0)</f>
        <v>#REF!</v>
      </c>
      <c r="BD18" s="14">
        <f>IFERROR(VLOOKUP(D18,#REF!,3,0),0)</f>
        <v>0</v>
      </c>
      <c r="BE18" s="14" t="e">
        <f>MAX(VLOOKUP(D18,#REF!,22,0)-VLOOKUP(D18,#REF!,23,0),0)</f>
        <v>#REF!</v>
      </c>
      <c r="BF18" s="14" t="e">
        <f t="shared" si="21"/>
        <v>#REF!</v>
      </c>
      <c r="BG18" s="14" t="e">
        <f t="shared" si="22"/>
        <v>#REF!</v>
      </c>
      <c r="BH18" s="14">
        <v>0</v>
      </c>
      <c r="BI18" s="14"/>
      <c r="BJ18" s="14"/>
      <c r="BK18" s="14">
        <v>221</v>
      </c>
      <c r="BL18" s="14">
        <f t="shared" si="23"/>
        <v>221</v>
      </c>
      <c r="BM18" s="14">
        <f t="shared" si="24"/>
        <v>0</v>
      </c>
      <c r="BN18" s="14">
        <v>0</v>
      </c>
      <c r="BO18" s="14"/>
      <c r="BP18" s="14"/>
      <c r="BQ18" s="14"/>
      <c r="BR18" s="14">
        <v>0</v>
      </c>
      <c r="BS18" s="14"/>
      <c r="BT18" s="14">
        <v>0</v>
      </c>
      <c r="BU18" s="14"/>
      <c r="BV18" s="14">
        <v>0</v>
      </c>
      <c r="BW18" s="14"/>
      <c r="BX18" s="14">
        <v>34230.46</v>
      </c>
      <c r="BY18" s="14">
        <f t="shared" si="25"/>
        <v>34230.46</v>
      </c>
      <c r="BZ18" s="14">
        <f t="shared" si="26"/>
        <v>0</v>
      </c>
      <c r="CA18" s="14">
        <v>34009.46</v>
      </c>
      <c r="CB18" s="14">
        <f t="shared" si="27"/>
        <v>34009.46</v>
      </c>
      <c r="CC18" s="14">
        <f t="shared" si="28"/>
        <v>0</v>
      </c>
      <c r="CD18" s="14">
        <v>0</v>
      </c>
      <c r="CE18" s="14"/>
      <c r="CF18" s="14"/>
      <c r="CG18" s="14">
        <v>0</v>
      </c>
      <c r="CH18" s="14"/>
      <c r="CI18" s="14">
        <v>1117.8081999999999</v>
      </c>
      <c r="CJ18" s="14">
        <v>0</v>
      </c>
      <c r="CK18" s="14"/>
      <c r="CL18" s="14">
        <v>0</v>
      </c>
      <c r="CM18" s="14">
        <v>7.4999999999999997E-2</v>
      </c>
      <c r="CN18" s="14">
        <v>0</v>
      </c>
      <c r="CO18" s="14">
        <v>0</v>
      </c>
      <c r="CP18" s="14">
        <v>0</v>
      </c>
      <c r="CQ18" s="14"/>
      <c r="CR18" s="14">
        <v>0</v>
      </c>
      <c r="CS18" s="14"/>
      <c r="CT18" s="14">
        <v>1500</v>
      </c>
      <c r="CU18" s="14">
        <f t="shared" si="29"/>
        <v>1500</v>
      </c>
      <c r="CV18" s="14">
        <f t="shared" si="30"/>
        <v>0</v>
      </c>
      <c r="CW18" s="14">
        <v>0</v>
      </c>
      <c r="CX18" s="14">
        <f t="shared" si="31"/>
        <v>0</v>
      </c>
      <c r="CY18" s="14">
        <f t="shared" si="32"/>
        <v>0</v>
      </c>
      <c r="CZ18" s="14">
        <v>1500</v>
      </c>
      <c r="DA18" s="14">
        <f t="shared" si="33"/>
        <v>1500</v>
      </c>
      <c r="DB18" s="14">
        <f t="shared" si="34"/>
        <v>0</v>
      </c>
      <c r="DC18" s="14">
        <v>1050.71</v>
      </c>
      <c r="DD18" s="14">
        <f t="shared" si="39"/>
        <v>1050.71</v>
      </c>
      <c r="DE18" s="14">
        <f t="shared" si="35"/>
        <v>0</v>
      </c>
      <c r="DF18" s="14">
        <v>32730.46</v>
      </c>
      <c r="DG18" s="14">
        <f t="shared" si="36"/>
        <v>32730.46</v>
      </c>
      <c r="DH18" s="14">
        <f t="shared" si="37"/>
        <v>0</v>
      </c>
      <c r="DI18" s="14">
        <v>1076.1400000000001</v>
      </c>
      <c r="DJ18" s="14">
        <f>IFERROR(VLOOKUP(D18,#REF!,2,0),0)</f>
        <v>0</v>
      </c>
      <c r="DK18" s="14">
        <f t="shared" si="38"/>
        <v>-1076.1400000000001</v>
      </c>
      <c r="DL18" s="14">
        <v>34230.46</v>
      </c>
      <c r="DM18" s="14">
        <v>443189.37</v>
      </c>
      <c r="DN18" s="14">
        <v>2833.33</v>
      </c>
      <c r="DO18" s="14">
        <v>9.4600000000000009</v>
      </c>
      <c r="DP18" s="14">
        <v>0</v>
      </c>
      <c r="DQ18" s="14">
        <v>34009.46</v>
      </c>
      <c r="DR18" s="14">
        <v>28</v>
      </c>
      <c r="DS18" s="14">
        <v>0</v>
      </c>
      <c r="DT18" s="5" t="s">
        <v>206</v>
      </c>
      <c r="DU18" s="5" t="s">
        <v>195</v>
      </c>
      <c r="DV18" s="5" t="s">
        <v>196</v>
      </c>
      <c r="DW18" s="5" t="s">
        <v>197</v>
      </c>
    </row>
    <row r="19" spans="1:127" ht="16.5">
      <c r="A19" s="5" t="s">
        <v>184</v>
      </c>
      <c r="B19" s="5" t="s">
        <v>147</v>
      </c>
      <c r="C19" s="5" t="s">
        <v>148</v>
      </c>
      <c r="D19" s="5" t="s">
        <v>300</v>
      </c>
      <c r="E19" s="5" t="e">
        <f>VLOOKUP(D19,#REF!,1,0)</f>
        <v>#REF!</v>
      </c>
      <c r="F19" s="5" t="s">
        <v>301</v>
      </c>
      <c r="G19" s="5" t="s">
        <v>302</v>
      </c>
      <c r="H19" s="5" t="str">
        <f t="shared" si="0"/>
        <v>Wai Kwan Agnes Chu</v>
      </c>
      <c r="I19" s="5" t="e">
        <f>VLOOKUP(D19,#REF!,9,0)</f>
        <v>#REF!</v>
      </c>
      <c r="J19" s="5" t="e">
        <f t="shared" si="1"/>
        <v>#REF!</v>
      </c>
      <c r="K19" s="5" t="s">
        <v>303</v>
      </c>
      <c r="L19" s="5" t="s">
        <v>151</v>
      </c>
      <c r="M19" s="5" t="s">
        <v>304</v>
      </c>
      <c r="N19" s="10" t="e">
        <f>VLOOKUP(D19,#REF!,80,0)</f>
        <v>#REF!</v>
      </c>
      <c r="O19" s="11" t="s">
        <v>305</v>
      </c>
      <c r="P19" s="5" t="s">
        <v>306</v>
      </c>
      <c r="Q19" s="5" t="e">
        <f>VLOOKUP(D19,#REF!,50,0)</f>
        <v>#REF!</v>
      </c>
      <c r="R19" s="5" t="e">
        <f t="shared" si="12"/>
        <v>#REF!</v>
      </c>
      <c r="S19" s="5" t="s">
        <v>307</v>
      </c>
      <c r="T19" s="5" t="e">
        <f>VLOOKUP(D19,#REF!,21,0)</f>
        <v>#REF!</v>
      </c>
      <c r="U19" s="5" t="e">
        <f t="shared" si="13"/>
        <v>#REF!</v>
      </c>
      <c r="V19" s="5" t="s">
        <v>308</v>
      </c>
      <c r="W19" s="5" t="e">
        <f>VLOOKUP(D19,#REF!,51,0)</f>
        <v>#REF!</v>
      </c>
      <c r="X19" s="5" t="e">
        <f t="shared" si="14"/>
        <v>#REF!</v>
      </c>
      <c r="Y19" s="5" t="s">
        <v>192</v>
      </c>
      <c r="Z19" s="5" t="s">
        <v>193</v>
      </c>
      <c r="AA19" s="14">
        <v>33.15</v>
      </c>
      <c r="AB19" s="14">
        <v>61865</v>
      </c>
      <c r="AC19" s="14" t="e">
        <f>ROUND(VLOOKUP(D19,#REF!,59,0),0)</f>
        <v>#REF!</v>
      </c>
      <c r="AD19" s="14" t="e">
        <f t="shared" si="40"/>
        <v>#REF!</v>
      </c>
      <c r="AE19" s="14">
        <v>61865</v>
      </c>
      <c r="AF19" s="14">
        <f t="shared" si="41"/>
        <v>61865</v>
      </c>
      <c r="AG19" s="14">
        <f t="shared" si="42"/>
        <v>0</v>
      </c>
      <c r="AH19" s="14">
        <v>0</v>
      </c>
      <c r="AI19" s="14"/>
      <c r="AJ19" s="14"/>
      <c r="AK19" s="14">
        <v>0</v>
      </c>
      <c r="AL19" s="14"/>
      <c r="AM19" s="14"/>
      <c r="AN19" s="14">
        <v>0</v>
      </c>
      <c r="AO19" s="14">
        <v>0</v>
      </c>
      <c r="AP19" s="14">
        <f>IFERROR(VLOOKUP('Feb for check'!D19,#REF!,15,0),0)</f>
        <v>0</v>
      </c>
      <c r="AQ19" s="14">
        <f t="shared" si="18"/>
        <v>0</v>
      </c>
      <c r="AR19" s="14">
        <v>0</v>
      </c>
      <c r="AS19" s="14">
        <f t="shared" si="19"/>
        <v>0</v>
      </c>
      <c r="AT19" s="14">
        <f t="shared" si="20"/>
        <v>0</v>
      </c>
      <c r="AU19" s="14">
        <v>0</v>
      </c>
      <c r="AV19" s="14"/>
      <c r="AW19" s="14">
        <v>0</v>
      </c>
      <c r="AX19" s="14"/>
      <c r="AY19" s="14">
        <v>0</v>
      </c>
      <c r="AZ19" s="14"/>
      <c r="BA19" s="14">
        <v>4322.34</v>
      </c>
      <c r="BB19" s="14">
        <f>IFERROR(VLOOKUP(D19,#REF!,2,0),0)</f>
        <v>0</v>
      </c>
      <c r="BC19" s="14" t="e">
        <f>MAX(VLOOKUP(D19,#REF!,13,0)-VLOOKUP(D19,#REF!,14,0),0)</f>
        <v>#REF!</v>
      </c>
      <c r="BD19" s="14">
        <f>IFERROR(VLOOKUP(D19,#REF!,3,0),0)</f>
        <v>0</v>
      </c>
      <c r="BE19" s="14" t="e">
        <f>MAX(VLOOKUP(D19,#REF!,22,0)-VLOOKUP(D19,#REF!,23,0),0)</f>
        <v>#REF!</v>
      </c>
      <c r="BF19" s="14" t="e">
        <f t="shared" si="21"/>
        <v>#REF!</v>
      </c>
      <c r="BG19" s="14" t="e">
        <f t="shared" si="22"/>
        <v>#REF!</v>
      </c>
      <c r="BH19" s="14">
        <v>0</v>
      </c>
      <c r="BI19" s="14"/>
      <c r="BJ19" s="14"/>
      <c r="BK19" s="14">
        <v>0</v>
      </c>
      <c r="BL19" s="14">
        <f t="shared" si="23"/>
        <v>0</v>
      </c>
      <c r="BM19" s="14">
        <f t="shared" si="24"/>
        <v>0</v>
      </c>
      <c r="BN19" s="14">
        <v>0</v>
      </c>
      <c r="BO19" s="14"/>
      <c r="BP19" s="14"/>
      <c r="BQ19" s="14"/>
      <c r="BR19" s="14">
        <v>0</v>
      </c>
      <c r="BS19" s="14"/>
      <c r="BT19" s="14">
        <v>0</v>
      </c>
      <c r="BU19" s="14"/>
      <c r="BV19" s="14">
        <v>0</v>
      </c>
      <c r="BW19" s="14"/>
      <c r="BX19" s="14">
        <v>0</v>
      </c>
      <c r="BY19" s="14"/>
      <c r="BZ19" s="14"/>
      <c r="CA19" s="14">
        <v>0</v>
      </c>
      <c r="CB19" s="14"/>
      <c r="CC19" s="14"/>
      <c r="CD19" s="14">
        <v>61865</v>
      </c>
      <c r="CE19" s="14">
        <f>AE19</f>
        <v>61865</v>
      </c>
      <c r="CF19" s="14">
        <f>CE19-CD19</f>
        <v>0</v>
      </c>
      <c r="CG19" s="14">
        <v>0</v>
      </c>
      <c r="CH19" s="14"/>
      <c r="CI19" s="14">
        <v>2033.9177999999999</v>
      </c>
      <c r="CJ19" s="14">
        <v>0</v>
      </c>
      <c r="CK19" s="14"/>
      <c r="CL19" s="14">
        <v>0</v>
      </c>
      <c r="CM19" s="14">
        <v>0</v>
      </c>
      <c r="CN19" s="14">
        <v>0.05</v>
      </c>
      <c r="CO19" s="14">
        <v>6.0999999999999999E-2</v>
      </c>
      <c r="CP19" s="14">
        <v>3093.25</v>
      </c>
      <c r="CQ19" s="14">
        <f>ROUND(CN19*CD19,2)</f>
        <v>3093.25</v>
      </c>
      <c r="CR19" s="14">
        <v>3773.77</v>
      </c>
      <c r="CS19" s="14">
        <f>ROUND(CD19*CO19,2)</f>
        <v>3773.77</v>
      </c>
      <c r="CT19" s="14">
        <v>0</v>
      </c>
      <c r="CU19" s="14"/>
      <c r="CV19" s="14"/>
      <c r="CW19" s="14">
        <v>0</v>
      </c>
      <c r="CX19" s="14">
        <f t="shared" si="31"/>
        <v>0</v>
      </c>
      <c r="CY19" s="14">
        <f t="shared" si="32"/>
        <v>0</v>
      </c>
      <c r="CZ19" s="14">
        <v>0</v>
      </c>
      <c r="DA19" s="14">
        <f t="shared" si="33"/>
        <v>0</v>
      </c>
      <c r="DB19" s="14">
        <f t="shared" si="34"/>
        <v>0</v>
      </c>
      <c r="DC19" s="14">
        <v>0</v>
      </c>
      <c r="DD19" s="14">
        <f t="shared" si="39"/>
        <v>0</v>
      </c>
      <c r="DE19" s="14">
        <f t="shared" si="35"/>
        <v>0</v>
      </c>
      <c r="DF19" s="14">
        <v>63094.09</v>
      </c>
      <c r="DG19" s="14">
        <f t="shared" si="36"/>
        <v>63094.09</v>
      </c>
      <c r="DH19" s="14">
        <f t="shared" si="37"/>
        <v>0</v>
      </c>
      <c r="DI19" s="14">
        <v>0</v>
      </c>
      <c r="DJ19" s="14">
        <f>IFERROR(VLOOKUP(D19,#REF!,2,0),0)</f>
        <v>0</v>
      </c>
      <c r="DK19" s="14">
        <f t="shared" si="38"/>
        <v>0</v>
      </c>
      <c r="DL19" s="14">
        <v>66187.34</v>
      </c>
      <c r="DM19" s="14">
        <v>1046341.59</v>
      </c>
      <c r="DN19" s="14">
        <v>5155.42</v>
      </c>
      <c r="DO19" s="14">
        <v>4322.34</v>
      </c>
      <c r="DP19" s="14">
        <v>54.94</v>
      </c>
      <c r="DQ19" s="14">
        <v>66187.34</v>
      </c>
      <c r="DR19" s="14">
        <v>28</v>
      </c>
      <c r="DS19" s="14">
        <v>0</v>
      </c>
      <c r="DT19" s="5" t="s">
        <v>206</v>
      </c>
      <c r="DU19" s="5" t="s">
        <v>195</v>
      </c>
      <c r="DV19" s="5" t="s">
        <v>196</v>
      </c>
      <c r="DW19" s="5" t="s">
        <v>197</v>
      </c>
    </row>
    <row r="20" spans="1:127" ht="16.5">
      <c r="A20" s="5" t="s">
        <v>184</v>
      </c>
      <c r="B20" s="5" t="s">
        <v>147</v>
      </c>
      <c r="C20" s="5" t="s">
        <v>148</v>
      </c>
      <c r="D20" s="5" t="s">
        <v>309</v>
      </c>
      <c r="E20" s="5" t="e">
        <f>VLOOKUP(D20,#REF!,1,0)</f>
        <v>#REF!</v>
      </c>
      <c r="F20" s="5" t="s">
        <v>310</v>
      </c>
      <c r="G20" s="5" t="s">
        <v>311</v>
      </c>
      <c r="H20" s="5" t="str">
        <f t="shared" si="0"/>
        <v>Wai ling Tse</v>
      </c>
      <c r="I20" s="5" t="e">
        <f>VLOOKUP(D20,#REF!,9,0)</f>
        <v>#REF!</v>
      </c>
      <c r="J20" s="5" t="e">
        <f t="shared" si="1"/>
        <v>#REF!</v>
      </c>
      <c r="K20" s="5" t="s">
        <v>312</v>
      </c>
      <c r="L20" s="5" t="s">
        <v>151</v>
      </c>
      <c r="M20" s="5" t="s">
        <v>313</v>
      </c>
      <c r="N20" s="10" t="e">
        <f>VLOOKUP(D20,#REF!,80,0)</f>
        <v>#REF!</v>
      </c>
      <c r="O20" s="11" t="e">
        <f t="shared" si="11"/>
        <v>#REF!</v>
      </c>
      <c r="P20" s="5" t="s">
        <v>153</v>
      </c>
      <c r="Q20" s="5" t="e">
        <f>VLOOKUP(D20,#REF!,50,0)</f>
        <v>#REF!</v>
      </c>
      <c r="R20" s="5" t="e">
        <f t="shared" si="12"/>
        <v>#REF!</v>
      </c>
      <c r="S20" s="5" t="s">
        <v>314</v>
      </c>
      <c r="T20" s="5" t="e">
        <f>VLOOKUP(D20,#REF!,21,0)</f>
        <v>#REF!</v>
      </c>
      <c r="U20" s="5" t="e">
        <f t="shared" si="13"/>
        <v>#REF!</v>
      </c>
      <c r="V20" s="5" t="s">
        <v>212</v>
      </c>
      <c r="W20" s="5" t="e">
        <f>VLOOKUP(D20,#REF!,51,0)</f>
        <v>#REF!</v>
      </c>
      <c r="X20" s="5" t="e">
        <f t="shared" si="14"/>
        <v>#REF!</v>
      </c>
      <c r="Y20" s="5" t="s">
        <v>192</v>
      </c>
      <c r="Z20" s="5" t="s">
        <v>193</v>
      </c>
      <c r="AA20" s="14">
        <v>2.4300000000000002</v>
      </c>
      <c r="AB20" s="14">
        <v>45292.85</v>
      </c>
      <c r="AC20" s="15" t="e">
        <f>ROUND(VLOOKUP(D20,#REF!,59,0),0)</f>
        <v>#REF!</v>
      </c>
      <c r="AD20" s="14" t="e">
        <f t="shared" si="40"/>
        <v>#REF!</v>
      </c>
      <c r="AE20" s="14">
        <v>46611.7</v>
      </c>
      <c r="AF20" s="15" t="e">
        <f>AB20+AB20-VLOOKUP(D20,#REF!,14,0)</f>
        <v>#REF!</v>
      </c>
      <c r="AG20" s="14" t="e">
        <f t="shared" si="42"/>
        <v>#REF!</v>
      </c>
      <c r="AH20" s="14">
        <v>0</v>
      </c>
      <c r="AI20" s="14"/>
      <c r="AJ20" s="14"/>
      <c r="AK20" s="14">
        <v>0</v>
      </c>
      <c r="AL20" s="14"/>
      <c r="AM20" s="14"/>
      <c r="AN20" s="14">
        <v>0</v>
      </c>
      <c r="AO20" s="14">
        <v>0</v>
      </c>
      <c r="AP20" s="14">
        <f>IFERROR(VLOOKUP('Feb for check'!D20,#REF!,15,0),0)</f>
        <v>0</v>
      </c>
      <c r="AQ20" s="14">
        <f t="shared" si="18"/>
        <v>0</v>
      </c>
      <c r="AR20" s="14">
        <v>0</v>
      </c>
      <c r="AS20" s="14">
        <f t="shared" si="19"/>
        <v>0</v>
      </c>
      <c r="AT20" s="14">
        <f t="shared" si="20"/>
        <v>0</v>
      </c>
      <c r="AU20" s="14">
        <v>0</v>
      </c>
      <c r="AV20" s="14"/>
      <c r="AW20" s="14">
        <v>0</v>
      </c>
      <c r="AX20" s="14"/>
      <c r="AY20" s="14">
        <v>0</v>
      </c>
      <c r="AZ20" s="14"/>
      <c r="BA20" s="14">
        <v>2160.21</v>
      </c>
      <c r="BB20" s="14">
        <f>IFERROR(VLOOKUP(D20,#REF!,2,0),0)</f>
        <v>0</v>
      </c>
      <c r="BC20" s="14" t="e">
        <f>MAX(VLOOKUP(D20,#REF!,13,0)-VLOOKUP(D20,#REF!,14,0),0)</f>
        <v>#REF!</v>
      </c>
      <c r="BD20" s="14">
        <f>IFERROR(VLOOKUP(D20,#REF!,3,0),0)</f>
        <v>0</v>
      </c>
      <c r="BE20" s="14" t="e">
        <f>MAX(VLOOKUP(D20,#REF!,22,0)-VLOOKUP(D20,#REF!,23,0),0)</f>
        <v>#REF!</v>
      </c>
      <c r="BF20" s="14" t="e">
        <f t="shared" si="21"/>
        <v>#REF!</v>
      </c>
      <c r="BG20" s="14" t="e">
        <f t="shared" si="22"/>
        <v>#REF!</v>
      </c>
      <c r="BH20" s="14">
        <v>0</v>
      </c>
      <c r="BI20" s="14"/>
      <c r="BJ20" s="14"/>
      <c r="BK20" s="14">
        <v>0</v>
      </c>
      <c r="BL20" s="14">
        <f t="shared" si="23"/>
        <v>0</v>
      </c>
      <c r="BM20" s="14">
        <f t="shared" si="24"/>
        <v>0</v>
      </c>
      <c r="BN20" s="14">
        <v>0</v>
      </c>
      <c r="BO20" s="14"/>
      <c r="BP20" s="14"/>
      <c r="BQ20" s="14"/>
      <c r="BR20" s="14">
        <v>0</v>
      </c>
      <c r="BS20" s="14"/>
      <c r="BT20" s="14">
        <v>0</v>
      </c>
      <c r="BU20" s="14"/>
      <c r="BV20" s="14">
        <v>0</v>
      </c>
      <c r="BW20" s="14"/>
      <c r="BX20" s="14">
        <v>48771.91</v>
      </c>
      <c r="BY20" s="14">
        <f t="shared" si="25"/>
        <v>48771.909999999996</v>
      </c>
      <c r="BZ20" s="14">
        <f t="shared" si="26"/>
        <v>0</v>
      </c>
      <c r="CA20" s="14">
        <v>48771.91</v>
      </c>
      <c r="CB20" s="14">
        <f t="shared" si="27"/>
        <v>48771.909999999996</v>
      </c>
      <c r="CC20" s="14">
        <f t="shared" si="28"/>
        <v>0</v>
      </c>
      <c r="CD20" s="14">
        <v>0</v>
      </c>
      <c r="CE20" s="14"/>
      <c r="CF20" s="14"/>
      <c r="CG20" s="14">
        <v>0</v>
      </c>
      <c r="CH20" s="14"/>
      <c r="CI20" s="14">
        <v>1445.7204999999999</v>
      </c>
      <c r="CJ20" s="14">
        <v>0</v>
      </c>
      <c r="CK20" s="14"/>
      <c r="CL20" s="14">
        <v>0</v>
      </c>
      <c r="CM20" s="14">
        <v>7.4999999999999997E-2</v>
      </c>
      <c r="CN20" s="14">
        <v>0</v>
      </c>
      <c r="CO20" s="14">
        <v>0</v>
      </c>
      <c r="CP20" s="14">
        <v>0</v>
      </c>
      <c r="CQ20" s="14"/>
      <c r="CR20" s="14">
        <v>0</v>
      </c>
      <c r="CS20" s="14"/>
      <c r="CT20" s="14">
        <v>1500</v>
      </c>
      <c r="CU20" s="14">
        <f t="shared" ref="CU20:CU73" si="43">MIN(BX20*5%,1500)</f>
        <v>1500</v>
      </c>
      <c r="CV20" s="14">
        <f t="shared" ref="CV20:CV73" si="44">CU20-CT20</f>
        <v>0</v>
      </c>
      <c r="CW20" s="14">
        <v>0</v>
      </c>
      <c r="CX20" s="14">
        <f t="shared" si="31"/>
        <v>0</v>
      </c>
      <c r="CY20" s="14">
        <f t="shared" si="32"/>
        <v>0</v>
      </c>
      <c r="CZ20" s="14">
        <v>1500</v>
      </c>
      <c r="DA20" s="14">
        <f t="shared" si="33"/>
        <v>1500</v>
      </c>
      <c r="DB20" s="14">
        <f t="shared" si="34"/>
        <v>0</v>
      </c>
      <c r="DC20" s="14">
        <v>2157.89</v>
      </c>
      <c r="DD20" s="14">
        <f t="shared" si="39"/>
        <v>2157.89</v>
      </c>
      <c r="DE20" s="14">
        <f t="shared" si="35"/>
        <v>0</v>
      </c>
      <c r="DF20" s="14">
        <v>47271.91</v>
      </c>
      <c r="DG20" s="14">
        <f t="shared" si="36"/>
        <v>47271.909999999996</v>
      </c>
      <c r="DH20" s="14">
        <f t="shared" si="37"/>
        <v>0</v>
      </c>
      <c r="DI20" s="14">
        <v>0</v>
      </c>
      <c r="DJ20" s="14">
        <f>IFERROR(VLOOKUP(D20,#REF!,2,0),0)</f>
        <v>0</v>
      </c>
      <c r="DK20" s="14">
        <f t="shared" si="38"/>
        <v>0</v>
      </c>
      <c r="DL20" s="14">
        <v>48771.91</v>
      </c>
      <c r="DM20" s="14">
        <v>696251.17</v>
      </c>
      <c r="DN20" s="14">
        <v>3774.4</v>
      </c>
      <c r="DO20" s="14">
        <v>2160.21</v>
      </c>
      <c r="DP20" s="14">
        <v>0</v>
      </c>
      <c r="DQ20" s="14">
        <v>48771.91</v>
      </c>
      <c r="DR20" s="14">
        <v>28</v>
      </c>
      <c r="DS20" s="14">
        <v>0</v>
      </c>
      <c r="DT20" s="5" t="s">
        <v>206</v>
      </c>
      <c r="DU20" s="5" t="s">
        <v>195</v>
      </c>
      <c r="DV20" s="5" t="s">
        <v>196</v>
      </c>
      <c r="DW20" s="5" t="s">
        <v>197</v>
      </c>
    </row>
    <row r="21" spans="1:127" ht="16.5">
      <c r="A21" s="5" t="s">
        <v>184</v>
      </c>
      <c r="B21" s="5" t="s">
        <v>147</v>
      </c>
      <c r="C21" s="5" t="s">
        <v>148</v>
      </c>
      <c r="D21" s="5" t="s">
        <v>315</v>
      </c>
      <c r="E21" s="5" t="e">
        <f>VLOOKUP(D21,#REF!,1,0)</f>
        <v>#REF!</v>
      </c>
      <c r="F21" s="5" t="s">
        <v>238</v>
      </c>
      <c r="G21" s="5" t="s">
        <v>316</v>
      </c>
      <c r="H21" s="5" t="str">
        <f t="shared" si="0"/>
        <v>Sze Ching Leung</v>
      </c>
      <c r="I21" s="5" t="e">
        <f>VLOOKUP(D21,#REF!,9,0)</f>
        <v>#REF!</v>
      </c>
      <c r="J21" s="5" t="e">
        <f t="shared" si="1"/>
        <v>#REF!</v>
      </c>
      <c r="K21" s="5" t="s">
        <v>317</v>
      </c>
      <c r="L21" s="5" t="s">
        <v>151</v>
      </c>
      <c r="M21" s="5" t="s">
        <v>318</v>
      </c>
      <c r="N21" s="10" t="e">
        <f>VLOOKUP(D21,#REF!,80,0)</f>
        <v>#REF!</v>
      </c>
      <c r="O21" s="11" t="e">
        <f t="shared" si="11"/>
        <v>#REF!</v>
      </c>
      <c r="P21" s="5" t="s">
        <v>275</v>
      </c>
      <c r="Q21" s="5" t="e">
        <f>VLOOKUP(D21,#REF!,50,0)</f>
        <v>#REF!</v>
      </c>
      <c r="R21" s="5" t="e">
        <f t="shared" si="12"/>
        <v>#REF!</v>
      </c>
      <c r="S21" s="5" t="s">
        <v>319</v>
      </c>
      <c r="T21" s="5" t="e">
        <f>VLOOKUP(D21,#REF!,21,0)</f>
        <v>#REF!</v>
      </c>
      <c r="U21" s="5" t="e">
        <f t="shared" si="13"/>
        <v>#REF!</v>
      </c>
      <c r="V21" s="5" t="s">
        <v>277</v>
      </c>
      <c r="W21" s="5" t="e">
        <f>VLOOKUP(D21,#REF!,51,0)</f>
        <v>#REF!</v>
      </c>
      <c r="X21" s="5" t="e">
        <f t="shared" si="14"/>
        <v>#REF!</v>
      </c>
      <c r="Y21" s="5" t="s">
        <v>192</v>
      </c>
      <c r="Z21" s="5" t="s">
        <v>193</v>
      </c>
      <c r="AA21" s="14">
        <v>2.72</v>
      </c>
      <c r="AB21" s="14">
        <v>27500</v>
      </c>
      <c r="AC21" s="14" t="e">
        <f>ROUND(VLOOKUP(D21,#REF!,59,0),0)</f>
        <v>#REF!</v>
      </c>
      <c r="AD21" s="14" t="e">
        <f t="shared" si="40"/>
        <v>#REF!</v>
      </c>
      <c r="AE21" s="14">
        <v>27500</v>
      </c>
      <c r="AF21" s="14">
        <f t="shared" si="41"/>
        <v>27500</v>
      </c>
      <c r="AG21" s="14">
        <f t="shared" si="42"/>
        <v>0</v>
      </c>
      <c r="AH21" s="14">
        <v>0</v>
      </c>
      <c r="AI21" s="14"/>
      <c r="AJ21" s="14"/>
      <c r="AK21" s="14">
        <v>0</v>
      </c>
      <c r="AL21" s="14"/>
      <c r="AM21" s="14"/>
      <c r="AN21" s="14">
        <v>0</v>
      </c>
      <c r="AO21" s="14">
        <v>2500</v>
      </c>
      <c r="AP21" s="14">
        <f>IFERROR(VLOOKUP('Feb for check'!D21,#REF!,15,0),0)</f>
        <v>0</v>
      </c>
      <c r="AQ21" s="14">
        <f t="shared" si="18"/>
        <v>-2500</v>
      </c>
      <c r="AR21" s="14">
        <v>2500</v>
      </c>
      <c r="AS21" s="14">
        <f t="shared" si="19"/>
        <v>2500</v>
      </c>
      <c r="AT21" s="14">
        <f t="shared" si="20"/>
        <v>0</v>
      </c>
      <c r="AU21" s="14">
        <v>0</v>
      </c>
      <c r="AV21" s="14"/>
      <c r="AW21" s="14">
        <v>0</v>
      </c>
      <c r="AX21" s="14"/>
      <c r="AY21" s="14">
        <v>0</v>
      </c>
      <c r="AZ21" s="14"/>
      <c r="BA21" s="14">
        <v>0</v>
      </c>
      <c r="BB21" s="14">
        <f>IFERROR(VLOOKUP(D21,#REF!,2,0),0)</f>
        <v>0</v>
      </c>
      <c r="BC21" s="14" t="e">
        <f>MAX(VLOOKUP(D21,#REF!,13,0)-VLOOKUP(D21,#REF!,14,0),0)</f>
        <v>#REF!</v>
      </c>
      <c r="BD21" s="14">
        <f>IFERROR(VLOOKUP(D21,#REF!,3,0),0)</f>
        <v>0</v>
      </c>
      <c r="BE21" s="14" t="e">
        <f>MAX(VLOOKUP(D21,#REF!,22,0)-VLOOKUP(D21,#REF!,23,0),0)</f>
        <v>#REF!</v>
      </c>
      <c r="BF21" s="14" t="e">
        <f t="shared" si="21"/>
        <v>#REF!</v>
      </c>
      <c r="BG21" s="14" t="e">
        <f t="shared" si="22"/>
        <v>#REF!</v>
      </c>
      <c r="BH21" s="14">
        <v>0</v>
      </c>
      <c r="BI21" s="14"/>
      <c r="BJ21" s="14"/>
      <c r="BK21" s="14">
        <v>276</v>
      </c>
      <c r="BL21" s="14">
        <f t="shared" si="23"/>
        <v>276</v>
      </c>
      <c r="BM21" s="14">
        <f t="shared" si="24"/>
        <v>0</v>
      </c>
      <c r="BN21" s="14">
        <v>0</v>
      </c>
      <c r="BO21" s="14"/>
      <c r="BP21" s="14"/>
      <c r="BQ21" s="14"/>
      <c r="BR21" s="14">
        <v>0</v>
      </c>
      <c r="BS21" s="14"/>
      <c r="BT21" s="14">
        <v>0</v>
      </c>
      <c r="BU21" s="14"/>
      <c r="BV21" s="14">
        <v>0</v>
      </c>
      <c r="BW21" s="14"/>
      <c r="BX21" s="14">
        <v>30276</v>
      </c>
      <c r="BY21" s="14">
        <f t="shared" si="25"/>
        <v>30276</v>
      </c>
      <c r="BZ21" s="14">
        <f t="shared" si="26"/>
        <v>0</v>
      </c>
      <c r="CA21" s="14">
        <v>27500</v>
      </c>
      <c r="CB21" s="14">
        <f t="shared" si="27"/>
        <v>27500</v>
      </c>
      <c r="CC21" s="14">
        <f t="shared" si="28"/>
        <v>0</v>
      </c>
      <c r="CD21" s="14">
        <v>0</v>
      </c>
      <c r="CE21" s="14"/>
      <c r="CF21" s="14"/>
      <c r="CG21" s="14">
        <v>0</v>
      </c>
      <c r="CH21" s="14"/>
      <c r="CI21" s="14">
        <v>986.30129999999997</v>
      </c>
      <c r="CJ21" s="14">
        <v>0</v>
      </c>
      <c r="CK21" s="14"/>
      <c r="CL21" s="14">
        <v>0</v>
      </c>
      <c r="CM21" s="14">
        <v>7.4999999999999997E-2</v>
      </c>
      <c r="CN21" s="14">
        <v>0</v>
      </c>
      <c r="CO21" s="14">
        <v>0</v>
      </c>
      <c r="CP21" s="14">
        <v>0</v>
      </c>
      <c r="CQ21" s="14"/>
      <c r="CR21" s="14">
        <v>0</v>
      </c>
      <c r="CS21" s="14"/>
      <c r="CT21" s="14">
        <v>1500</v>
      </c>
      <c r="CU21" s="14">
        <f t="shared" si="43"/>
        <v>1500</v>
      </c>
      <c r="CV21" s="14">
        <f t="shared" si="44"/>
        <v>0</v>
      </c>
      <c r="CW21" s="14">
        <v>0</v>
      </c>
      <c r="CX21" s="14">
        <f t="shared" si="31"/>
        <v>0</v>
      </c>
      <c r="CY21" s="14">
        <f t="shared" si="32"/>
        <v>0</v>
      </c>
      <c r="CZ21" s="14">
        <v>1500</v>
      </c>
      <c r="DA21" s="14">
        <f t="shared" si="33"/>
        <v>1500</v>
      </c>
      <c r="DB21" s="14">
        <f t="shared" si="34"/>
        <v>0</v>
      </c>
      <c r="DC21" s="14">
        <v>562.5</v>
      </c>
      <c r="DD21" s="14">
        <f t="shared" si="39"/>
        <v>562.5</v>
      </c>
      <c r="DE21" s="14">
        <f t="shared" si="35"/>
        <v>0</v>
      </c>
      <c r="DF21" s="14">
        <v>28776</v>
      </c>
      <c r="DG21" s="14">
        <f t="shared" si="36"/>
        <v>28776</v>
      </c>
      <c r="DH21" s="14">
        <f t="shared" si="37"/>
        <v>0</v>
      </c>
      <c r="DI21" s="14">
        <v>1344.24</v>
      </c>
      <c r="DJ21" s="14">
        <f>IFERROR(VLOOKUP(D21,#REF!,2,0),0)</f>
        <v>0</v>
      </c>
      <c r="DK21" s="14">
        <f t="shared" si="38"/>
        <v>-1344.24</v>
      </c>
      <c r="DL21" s="14">
        <v>27776</v>
      </c>
      <c r="DM21" s="14">
        <v>474904.41</v>
      </c>
      <c r="DN21" s="14">
        <v>2291.67</v>
      </c>
      <c r="DO21" s="14">
        <v>0</v>
      </c>
      <c r="DP21" s="14">
        <v>0</v>
      </c>
      <c r="DQ21" s="14">
        <v>30000</v>
      </c>
      <c r="DR21" s="14">
        <v>28</v>
      </c>
      <c r="DS21" s="14">
        <v>0</v>
      </c>
      <c r="DT21" s="5" t="s">
        <v>206</v>
      </c>
      <c r="DU21" s="5" t="s">
        <v>195</v>
      </c>
      <c r="DV21" s="5" t="s">
        <v>196</v>
      </c>
      <c r="DW21" s="5" t="s">
        <v>197</v>
      </c>
    </row>
    <row r="22" spans="1:127" ht="16.5">
      <c r="A22" s="5" t="s">
        <v>184</v>
      </c>
      <c r="B22" s="5" t="s">
        <v>147</v>
      </c>
      <c r="C22" s="5" t="s">
        <v>148</v>
      </c>
      <c r="D22" s="5" t="s">
        <v>320</v>
      </c>
      <c r="E22" s="5" t="e">
        <f>VLOOKUP(D22,#REF!,1,0)</f>
        <v>#REF!</v>
      </c>
      <c r="F22" s="5" t="s">
        <v>321</v>
      </c>
      <c r="G22" s="5" t="s">
        <v>322</v>
      </c>
      <c r="H22" s="5" t="str">
        <f t="shared" si="0"/>
        <v>Tsz Kin Aaron Khan</v>
      </c>
      <c r="I22" s="5" t="e">
        <f>VLOOKUP(D22,#REF!,9,0)</f>
        <v>#REF!</v>
      </c>
      <c r="J22" s="5" t="e">
        <f t="shared" si="1"/>
        <v>#REF!</v>
      </c>
      <c r="K22" s="5" t="s">
        <v>323</v>
      </c>
      <c r="L22" s="5" t="s">
        <v>151</v>
      </c>
      <c r="M22" s="5" t="s">
        <v>324</v>
      </c>
      <c r="N22" s="10" t="e">
        <f>VLOOKUP(D22,#REF!,80,0)</f>
        <v>#REF!</v>
      </c>
      <c r="O22" s="11" t="e">
        <f t="shared" si="11"/>
        <v>#REF!</v>
      </c>
      <c r="P22" s="5" t="s">
        <v>325</v>
      </c>
      <c r="Q22" s="5" t="e">
        <f>VLOOKUP(D22,#REF!,50,0)</f>
        <v>#REF!</v>
      </c>
      <c r="R22" s="5" t="e">
        <f t="shared" si="12"/>
        <v>#REF!</v>
      </c>
      <c r="S22" s="5" t="s">
        <v>326</v>
      </c>
      <c r="T22" s="5" t="e">
        <f>VLOOKUP(D22,#REF!,21,0)</f>
        <v>#REF!</v>
      </c>
      <c r="U22" s="5" t="e">
        <f t="shared" si="13"/>
        <v>#REF!</v>
      </c>
      <c r="V22" s="5" t="s">
        <v>327</v>
      </c>
      <c r="W22" s="5" t="e">
        <f>VLOOKUP(D22,#REF!,51,0)</f>
        <v>#REF!</v>
      </c>
      <c r="X22" s="5" t="e">
        <f t="shared" si="14"/>
        <v>#REF!</v>
      </c>
      <c r="Y22" s="5" t="s">
        <v>192</v>
      </c>
      <c r="Z22" s="5" t="s">
        <v>193</v>
      </c>
      <c r="AA22" s="14">
        <v>7.08</v>
      </c>
      <c r="AB22" s="14">
        <v>74314</v>
      </c>
      <c r="AC22" s="14" t="e">
        <f>ROUND(VLOOKUP(D22,#REF!,59,0),0)</f>
        <v>#REF!</v>
      </c>
      <c r="AD22" s="14" t="e">
        <f t="shared" si="40"/>
        <v>#REF!</v>
      </c>
      <c r="AE22" s="14">
        <v>74314</v>
      </c>
      <c r="AF22" s="14">
        <f t="shared" si="41"/>
        <v>74314</v>
      </c>
      <c r="AG22" s="14">
        <f t="shared" si="42"/>
        <v>0</v>
      </c>
      <c r="AH22" s="14">
        <v>0</v>
      </c>
      <c r="AI22" s="14"/>
      <c r="AJ22" s="14"/>
      <c r="AK22" s="14">
        <v>0</v>
      </c>
      <c r="AL22" s="14"/>
      <c r="AM22" s="14"/>
      <c r="AN22" s="14">
        <v>0</v>
      </c>
      <c r="AO22" s="14">
        <v>0</v>
      </c>
      <c r="AP22" s="14">
        <f>IFERROR(VLOOKUP('Feb for check'!D22,#REF!,15,0),0)</f>
        <v>0</v>
      </c>
      <c r="AQ22" s="14">
        <f t="shared" si="18"/>
        <v>0</v>
      </c>
      <c r="AR22" s="14">
        <v>0</v>
      </c>
      <c r="AS22" s="14">
        <f t="shared" si="19"/>
        <v>0</v>
      </c>
      <c r="AT22" s="14">
        <f t="shared" si="20"/>
        <v>0</v>
      </c>
      <c r="AU22" s="14">
        <v>0</v>
      </c>
      <c r="AV22" s="14"/>
      <c r="AW22" s="14">
        <v>0</v>
      </c>
      <c r="AX22" s="14"/>
      <c r="AY22" s="14">
        <v>0</v>
      </c>
      <c r="AZ22" s="14"/>
      <c r="BA22" s="14">
        <v>5385.93</v>
      </c>
      <c r="BB22" s="14">
        <f>IFERROR(VLOOKUP(D22,#REF!,2,0),0)</f>
        <v>0</v>
      </c>
      <c r="BC22" s="14" t="e">
        <f>MAX(VLOOKUP(D22,#REF!,13,0)-VLOOKUP(D22,#REF!,14,0),0)</f>
        <v>#REF!</v>
      </c>
      <c r="BD22" s="14">
        <f>IFERROR(VLOOKUP(D22,#REF!,3,0),0)</f>
        <v>0</v>
      </c>
      <c r="BE22" s="14" t="e">
        <f>MAX(VLOOKUP(D22,#REF!,22,0)-VLOOKUP(D22,#REF!,23,0),0)</f>
        <v>#REF!</v>
      </c>
      <c r="BF22" s="14" t="e">
        <f t="shared" si="21"/>
        <v>#REF!</v>
      </c>
      <c r="BG22" s="14" t="e">
        <f t="shared" si="22"/>
        <v>#REF!</v>
      </c>
      <c r="BH22" s="14">
        <v>0</v>
      </c>
      <c r="BI22" s="14"/>
      <c r="BJ22" s="14"/>
      <c r="BK22" s="14">
        <v>221</v>
      </c>
      <c r="BL22" s="14">
        <f t="shared" si="23"/>
        <v>221</v>
      </c>
      <c r="BM22" s="14">
        <f t="shared" si="24"/>
        <v>0</v>
      </c>
      <c r="BN22" s="14">
        <v>0</v>
      </c>
      <c r="BO22" s="14"/>
      <c r="BP22" s="14"/>
      <c r="BQ22" s="14"/>
      <c r="BR22" s="14">
        <v>0</v>
      </c>
      <c r="BS22" s="14"/>
      <c r="BT22" s="14">
        <v>0</v>
      </c>
      <c r="BU22" s="14"/>
      <c r="BV22" s="14">
        <v>0</v>
      </c>
      <c r="BW22" s="14"/>
      <c r="BX22" s="14">
        <v>79920.929999999993</v>
      </c>
      <c r="BY22" s="14">
        <f t="shared" si="25"/>
        <v>79920.929999999993</v>
      </c>
      <c r="BZ22" s="14">
        <f t="shared" si="26"/>
        <v>0</v>
      </c>
      <c r="CA22" s="14">
        <v>79699.929999999993</v>
      </c>
      <c r="CB22" s="14">
        <f t="shared" si="27"/>
        <v>79699.929999999993</v>
      </c>
      <c r="CC22" s="14">
        <f t="shared" si="28"/>
        <v>0</v>
      </c>
      <c r="CD22" s="14">
        <v>0</v>
      </c>
      <c r="CE22" s="14"/>
      <c r="CF22" s="14"/>
      <c r="CG22" s="14">
        <v>0</v>
      </c>
      <c r="CH22" s="14"/>
      <c r="CI22" s="14">
        <v>2443.1999999999998</v>
      </c>
      <c r="CJ22" s="14">
        <v>0.05</v>
      </c>
      <c r="CK22" s="14"/>
      <c r="CL22" s="14">
        <v>0</v>
      </c>
      <c r="CM22" s="14">
        <v>0.1</v>
      </c>
      <c r="CN22" s="14">
        <v>0</v>
      </c>
      <c r="CO22" s="14">
        <v>0</v>
      </c>
      <c r="CP22" s="14">
        <v>0</v>
      </c>
      <c r="CQ22" s="14"/>
      <c r="CR22" s="14">
        <v>0</v>
      </c>
      <c r="CS22" s="14"/>
      <c r="CT22" s="14">
        <v>1500</v>
      </c>
      <c r="CU22" s="14">
        <f t="shared" si="43"/>
        <v>1500</v>
      </c>
      <c r="CV22" s="14">
        <f t="shared" si="44"/>
        <v>0</v>
      </c>
      <c r="CW22" s="14">
        <v>3985</v>
      </c>
      <c r="CX22" s="14">
        <f t="shared" si="31"/>
        <v>3985</v>
      </c>
      <c r="CY22" s="14">
        <f t="shared" si="32"/>
        <v>0</v>
      </c>
      <c r="CZ22" s="14">
        <v>1500</v>
      </c>
      <c r="DA22" s="14">
        <f t="shared" si="33"/>
        <v>1500</v>
      </c>
      <c r="DB22" s="14">
        <f t="shared" si="34"/>
        <v>0</v>
      </c>
      <c r="DC22" s="14">
        <v>6469.99</v>
      </c>
      <c r="DD22" s="14">
        <f t="shared" si="39"/>
        <v>6469.99</v>
      </c>
      <c r="DE22" s="14">
        <f t="shared" si="35"/>
        <v>0</v>
      </c>
      <c r="DF22" s="14">
        <v>74435.929999999993</v>
      </c>
      <c r="DG22" s="14">
        <f t="shared" si="36"/>
        <v>74435.929999999993</v>
      </c>
      <c r="DH22" s="14">
        <f t="shared" si="37"/>
        <v>0</v>
      </c>
      <c r="DI22" s="14">
        <v>1076.1400000000001</v>
      </c>
      <c r="DJ22" s="14">
        <f>IFERROR(VLOOKUP(D22,#REF!,2,0),0)</f>
        <v>0</v>
      </c>
      <c r="DK22" s="14">
        <f t="shared" si="38"/>
        <v>-1076.1400000000001</v>
      </c>
      <c r="DL22" s="14">
        <v>79920.929999999993</v>
      </c>
      <c r="DM22" s="14">
        <v>1346229.14</v>
      </c>
      <c r="DN22" s="14">
        <v>6192.83</v>
      </c>
      <c r="DO22" s="14">
        <v>5385.93</v>
      </c>
      <c r="DP22" s="14">
        <v>0</v>
      </c>
      <c r="DQ22" s="14">
        <v>79699.929999999993</v>
      </c>
      <c r="DR22" s="14">
        <v>28</v>
      </c>
      <c r="DS22" s="14">
        <v>0</v>
      </c>
      <c r="DT22" s="5" t="s">
        <v>206</v>
      </c>
      <c r="DU22" s="5" t="s">
        <v>195</v>
      </c>
      <c r="DV22" s="5" t="s">
        <v>196</v>
      </c>
      <c r="DW22" s="5" t="s">
        <v>197</v>
      </c>
    </row>
    <row r="23" spans="1:127" ht="16.5">
      <c r="A23" s="5" t="s">
        <v>184</v>
      </c>
      <c r="B23" s="5" t="s">
        <v>147</v>
      </c>
      <c r="C23" s="5" t="s">
        <v>148</v>
      </c>
      <c r="D23" s="5" t="s">
        <v>328</v>
      </c>
      <c r="E23" s="5" t="e">
        <f>VLOOKUP(D23,#REF!,1,0)</f>
        <v>#REF!</v>
      </c>
      <c r="F23" s="5" t="s">
        <v>329</v>
      </c>
      <c r="G23" s="5" t="s">
        <v>330</v>
      </c>
      <c r="H23" s="5" t="str">
        <f t="shared" si="0"/>
        <v>King Man Pau</v>
      </c>
      <c r="I23" s="5" t="e">
        <f>VLOOKUP(D23,#REF!,9,0)</f>
        <v>#REF!</v>
      </c>
      <c r="J23" s="5" t="e">
        <f t="shared" si="1"/>
        <v>#REF!</v>
      </c>
      <c r="K23" s="5" t="s">
        <v>331</v>
      </c>
      <c r="L23" s="5" t="s">
        <v>151</v>
      </c>
      <c r="M23" s="5" t="s">
        <v>332</v>
      </c>
      <c r="N23" s="10" t="e">
        <f>VLOOKUP(D23,#REF!,80,0)</f>
        <v>#REF!</v>
      </c>
      <c r="O23" s="11" t="e">
        <f t="shared" si="11"/>
        <v>#REF!</v>
      </c>
      <c r="P23" s="5" t="s">
        <v>203</v>
      </c>
      <c r="Q23" s="5" t="e">
        <f>VLOOKUP(D23,#REF!,50,0)</f>
        <v>#REF!</v>
      </c>
      <c r="R23" s="5" t="e">
        <f t="shared" si="12"/>
        <v>#REF!</v>
      </c>
      <c r="S23" s="5" t="s">
        <v>333</v>
      </c>
      <c r="T23" s="5" t="e">
        <f>VLOOKUP(D23,#REF!,21,0)</f>
        <v>#REF!</v>
      </c>
      <c r="U23" s="5" t="e">
        <f t="shared" si="13"/>
        <v>#REF!</v>
      </c>
      <c r="V23" s="5" t="s">
        <v>205</v>
      </c>
      <c r="W23" s="5" t="e">
        <f>VLOOKUP(D23,#REF!,51,0)</f>
        <v>#REF!</v>
      </c>
      <c r="X23" s="5" t="e">
        <f t="shared" si="14"/>
        <v>#REF!</v>
      </c>
      <c r="Y23" s="5" t="s">
        <v>192</v>
      </c>
      <c r="Z23" s="5" t="s">
        <v>193</v>
      </c>
      <c r="AA23" s="14">
        <v>1.45</v>
      </c>
      <c r="AB23" s="14">
        <v>96914</v>
      </c>
      <c r="AC23" s="14" t="e">
        <f>ROUND(VLOOKUP(D23,#REF!,59,0),0)</f>
        <v>#REF!</v>
      </c>
      <c r="AD23" s="14" t="e">
        <f t="shared" si="40"/>
        <v>#REF!</v>
      </c>
      <c r="AE23" s="14">
        <v>96914</v>
      </c>
      <c r="AF23" s="14">
        <f t="shared" si="41"/>
        <v>96914</v>
      </c>
      <c r="AG23" s="14">
        <f t="shared" si="42"/>
        <v>0</v>
      </c>
      <c r="AH23" s="14">
        <v>0</v>
      </c>
      <c r="AI23" s="14"/>
      <c r="AJ23" s="14"/>
      <c r="AK23" s="14">
        <v>0</v>
      </c>
      <c r="AL23" s="14"/>
      <c r="AM23" s="14"/>
      <c r="AN23" s="14">
        <v>0</v>
      </c>
      <c r="AO23" s="14">
        <v>0</v>
      </c>
      <c r="AP23" s="14">
        <f>IFERROR(VLOOKUP('Feb for check'!D23,#REF!,15,0),0)</f>
        <v>0</v>
      </c>
      <c r="AQ23" s="14">
        <f t="shared" si="18"/>
        <v>0</v>
      </c>
      <c r="AR23" s="14">
        <v>0</v>
      </c>
      <c r="AS23" s="14">
        <f t="shared" si="19"/>
        <v>0</v>
      </c>
      <c r="AT23" s="14">
        <f t="shared" si="20"/>
        <v>0</v>
      </c>
      <c r="AU23" s="14">
        <v>0</v>
      </c>
      <c r="AV23" s="14"/>
      <c r="AW23" s="14">
        <v>0</v>
      </c>
      <c r="AX23" s="14"/>
      <c r="AY23" s="14">
        <v>0</v>
      </c>
      <c r="AZ23" s="14"/>
      <c r="BA23" s="14">
        <v>0</v>
      </c>
      <c r="BB23" s="14">
        <f>IFERROR(VLOOKUP(D23,#REF!,2,0),0)</f>
        <v>0</v>
      </c>
      <c r="BC23" s="14" t="e">
        <f>MAX(VLOOKUP(D23,#REF!,13,0)-VLOOKUP(D23,#REF!,14,0),0)</f>
        <v>#REF!</v>
      </c>
      <c r="BD23" s="14">
        <f>IFERROR(VLOOKUP(D23,#REF!,3,0),0)</f>
        <v>0</v>
      </c>
      <c r="BE23" s="14" t="e">
        <f>MAX(VLOOKUP(D23,#REF!,22,0)-VLOOKUP(D23,#REF!,23,0),0)</f>
        <v>#REF!</v>
      </c>
      <c r="BF23" s="14" t="e">
        <f t="shared" si="21"/>
        <v>#REF!</v>
      </c>
      <c r="BG23" s="14" t="e">
        <f t="shared" si="22"/>
        <v>#REF!</v>
      </c>
      <c r="BH23" s="14">
        <v>0</v>
      </c>
      <c r="BI23" s="14"/>
      <c r="BJ23" s="14"/>
      <c r="BK23" s="14">
        <v>55</v>
      </c>
      <c r="BL23" s="14">
        <f t="shared" si="23"/>
        <v>55</v>
      </c>
      <c r="BM23" s="14">
        <f t="shared" si="24"/>
        <v>0</v>
      </c>
      <c r="BN23" s="14">
        <v>0</v>
      </c>
      <c r="BO23" s="14"/>
      <c r="BP23" s="14"/>
      <c r="BQ23" s="14"/>
      <c r="BR23" s="14">
        <v>0</v>
      </c>
      <c r="BS23" s="14"/>
      <c r="BT23" s="14">
        <v>0</v>
      </c>
      <c r="BU23" s="14"/>
      <c r="BV23" s="14">
        <v>0</v>
      </c>
      <c r="BW23" s="14"/>
      <c r="BX23" s="14">
        <v>96969</v>
      </c>
      <c r="BY23" s="14">
        <f t="shared" si="25"/>
        <v>96969</v>
      </c>
      <c r="BZ23" s="14">
        <f t="shared" si="26"/>
        <v>0</v>
      </c>
      <c r="CA23" s="14">
        <v>96914</v>
      </c>
      <c r="CB23" s="14">
        <f t="shared" si="27"/>
        <v>96914</v>
      </c>
      <c r="CC23" s="14">
        <f t="shared" si="28"/>
        <v>0</v>
      </c>
      <c r="CD23" s="14">
        <v>0</v>
      </c>
      <c r="CE23" s="14"/>
      <c r="CF23" s="14"/>
      <c r="CG23" s="14">
        <v>0</v>
      </c>
      <c r="CH23" s="14"/>
      <c r="CI23" s="14">
        <v>3186.2136</v>
      </c>
      <c r="CJ23" s="14">
        <v>0</v>
      </c>
      <c r="CK23" s="14"/>
      <c r="CL23" s="14">
        <v>0</v>
      </c>
      <c r="CM23" s="14">
        <v>7.4999999999999997E-2</v>
      </c>
      <c r="CN23" s="14">
        <v>0</v>
      </c>
      <c r="CO23" s="14">
        <v>0</v>
      </c>
      <c r="CP23" s="14">
        <v>0</v>
      </c>
      <c r="CQ23" s="14"/>
      <c r="CR23" s="14">
        <v>0</v>
      </c>
      <c r="CS23" s="14"/>
      <c r="CT23" s="14">
        <v>1500</v>
      </c>
      <c r="CU23" s="14">
        <f t="shared" si="43"/>
        <v>1500</v>
      </c>
      <c r="CV23" s="14">
        <f t="shared" si="44"/>
        <v>0</v>
      </c>
      <c r="CW23" s="14">
        <v>0</v>
      </c>
      <c r="CX23" s="14">
        <f t="shared" si="31"/>
        <v>0</v>
      </c>
      <c r="CY23" s="14">
        <f t="shared" si="32"/>
        <v>0</v>
      </c>
      <c r="CZ23" s="14">
        <v>1500</v>
      </c>
      <c r="DA23" s="14">
        <f t="shared" si="33"/>
        <v>1500</v>
      </c>
      <c r="DB23" s="14">
        <f t="shared" si="34"/>
        <v>0</v>
      </c>
      <c r="DC23" s="14">
        <v>5768.55</v>
      </c>
      <c r="DD23" s="14">
        <f t="shared" si="39"/>
        <v>5768.55</v>
      </c>
      <c r="DE23" s="14">
        <f t="shared" si="35"/>
        <v>0</v>
      </c>
      <c r="DF23" s="14">
        <v>95469</v>
      </c>
      <c r="DG23" s="14">
        <f t="shared" si="36"/>
        <v>95469</v>
      </c>
      <c r="DH23" s="14">
        <f t="shared" si="37"/>
        <v>0</v>
      </c>
      <c r="DI23" s="14">
        <v>268.10000000000002</v>
      </c>
      <c r="DJ23" s="14">
        <f>IFERROR(VLOOKUP(D23,#REF!,2,0),0)</f>
        <v>0</v>
      </c>
      <c r="DK23" s="14">
        <f t="shared" si="38"/>
        <v>-268.10000000000002</v>
      </c>
      <c r="DL23" s="14">
        <v>96969</v>
      </c>
      <c r="DM23" s="14">
        <v>1380753.03</v>
      </c>
      <c r="DN23" s="14">
        <v>8076.17</v>
      </c>
      <c r="DO23" s="14">
        <v>0</v>
      </c>
      <c r="DP23" s="14">
        <v>0</v>
      </c>
      <c r="DQ23" s="14">
        <v>96914</v>
      </c>
      <c r="DR23" s="14">
        <v>28</v>
      </c>
      <c r="DS23" s="14">
        <v>0</v>
      </c>
      <c r="DT23" s="5" t="s">
        <v>206</v>
      </c>
      <c r="DU23" s="5" t="s">
        <v>195</v>
      </c>
      <c r="DV23" s="5" t="s">
        <v>196</v>
      </c>
      <c r="DW23" s="5" t="s">
        <v>197</v>
      </c>
    </row>
    <row r="24" spans="1:127" ht="16.5">
      <c r="A24" s="5" t="s">
        <v>184</v>
      </c>
      <c r="B24" s="5" t="s">
        <v>147</v>
      </c>
      <c r="C24" s="5" t="s">
        <v>148</v>
      </c>
      <c r="D24" s="5" t="s">
        <v>334</v>
      </c>
      <c r="E24" s="5" t="e">
        <f>VLOOKUP(D24,#REF!,1,0)</f>
        <v>#REF!</v>
      </c>
      <c r="F24" s="5" t="s">
        <v>244</v>
      </c>
      <c r="G24" s="5" t="s">
        <v>335</v>
      </c>
      <c r="H24" s="5" t="str">
        <f t="shared" si="0"/>
        <v>Siu Yuet Fong</v>
      </c>
      <c r="I24" s="5" t="e">
        <f>VLOOKUP(D24,#REF!,9,0)</f>
        <v>#REF!</v>
      </c>
      <c r="J24" s="5" t="e">
        <f t="shared" si="1"/>
        <v>#REF!</v>
      </c>
      <c r="K24" s="5" t="s">
        <v>336</v>
      </c>
      <c r="L24" s="5" t="s">
        <v>151</v>
      </c>
      <c r="M24" s="5" t="s">
        <v>337</v>
      </c>
      <c r="N24" s="10" t="e">
        <f>VLOOKUP(D24,#REF!,80,0)</f>
        <v>#REF!</v>
      </c>
      <c r="O24" s="11" t="e">
        <f t="shared" si="11"/>
        <v>#REF!</v>
      </c>
      <c r="P24" s="5" t="s">
        <v>338</v>
      </c>
      <c r="Q24" s="5" t="e">
        <f>VLOOKUP(D24,#REF!,50,0)</f>
        <v>#REF!</v>
      </c>
      <c r="R24" s="5" t="e">
        <f t="shared" si="12"/>
        <v>#REF!</v>
      </c>
      <c r="S24" s="5" t="s">
        <v>339</v>
      </c>
      <c r="T24" s="5" t="e">
        <f>VLOOKUP(D24,#REF!,21,0)</f>
        <v>#REF!</v>
      </c>
      <c r="U24" s="5" t="e">
        <f t="shared" si="13"/>
        <v>#REF!</v>
      </c>
      <c r="V24" s="5" t="s">
        <v>340</v>
      </c>
      <c r="W24" s="5" t="e">
        <f>VLOOKUP(D24,#REF!,51,0)</f>
        <v>#REF!</v>
      </c>
      <c r="X24" s="5" t="e">
        <f t="shared" si="14"/>
        <v>#REF!</v>
      </c>
      <c r="Y24" s="5" t="s">
        <v>192</v>
      </c>
      <c r="Z24" s="5" t="s">
        <v>193</v>
      </c>
      <c r="AA24" s="14">
        <v>15.8</v>
      </c>
      <c r="AB24" s="14">
        <v>42275</v>
      </c>
      <c r="AC24" s="14" t="e">
        <f>ROUND(VLOOKUP(D24,#REF!,59,0),0)</f>
        <v>#REF!</v>
      </c>
      <c r="AD24" s="14" t="e">
        <f t="shared" si="40"/>
        <v>#REF!</v>
      </c>
      <c r="AE24" s="14">
        <v>42275</v>
      </c>
      <c r="AF24" s="14">
        <f t="shared" si="41"/>
        <v>42275</v>
      </c>
      <c r="AG24" s="14">
        <f t="shared" si="42"/>
        <v>0</v>
      </c>
      <c r="AH24" s="14">
        <v>0</v>
      </c>
      <c r="AI24" s="14"/>
      <c r="AJ24" s="14"/>
      <c r="AK24" s="14">
        <v>0</v>
      </c>
      <c r="AL24" s="14"/>
      <c r="AM24" s="14"/>
      <c r="AN24" s="14">
        <v>0</v>
      </c>
      <c r="AO24" s="14">
        <v>2500</v>
      </c>
      <c r="AP24" s="14">
        <f>IFERROR(VLOOKUP('Feb for check'!D24,#REF!,15,0),0)</f>
        <v>0</v>
      </c>
      <c r="AQ24" s="14">
        <f t="shared" si="18"/>
        <v>-2500</v>
      </c>
      <c r="AR24" s="14">
        <v>2500</v>
      </c>
      <c r="AS24" s="14">
        <f t="shared" si="19"/>
        <v>2500</v>
      </c>
      <c r="AT24" s="14">
        <f t="shared" si="20"/>
        <v>0</v>
      </c>
      <c r="AU24" s="14">
        <v>0</v>
      </c>
      <c r="AV24" s="14"/>
      <c r="AW24" s="14">
        <v>0</v>
      </c>
      <c r="AX24" s="14"/>
      <c r="AY24" s="14">
        <v>0</v>
      </c>
      <c r="AZ24" s="14"/>
      <c r="BA24" s="14">
        <v>586.29999999999995</v>
      </c>
      <c r="BB24" s="14">
        <f>IFERROR(VLOOKUP(D24,#REF!,2,0),0)</f>
        <v>0</v>
      </c>
      <c r="BC24" s="14" t="e">
        <f>MAX(VLOOKUP(D24,#REF!,13,0)-VLOOKUP(D24,#REF!,14,0),0)</f>
        <v>#REF!</v>
      </c>
      <c r="BD24" s="14">
        <f>IFERROR(VLOOKUP(D24,#REF!,3,0),0)</f>
        <v>0</v>
      </c>
      <c r="BE24" s="14" t="e">
        <f>MAX(VLOOKUP(D24,#REF!,22,0)-VLOOKUP(D24,#REF!,23,0),0)</f>
        <v>#REF!</v>
      </c>
      <c r="BF24" s="14" t="e">
        <f t="shared" si="21"/>
        <v>#REF!</v>
      </c>
      <c r="BG24" s="14" t="e">
        <f t="shared" si="22"/>
        <v>#REF!</v>
      </c>
      <c r="BH24" s="14">
        <v>0</v>
      </c>
      <c r="BI24" s="14"/>
      <c r="BJ24" s="14"/>
      <c r="BK24" s="14">
        <v>0</v>
      </c>
      <c r="BL24" s="14">
        <f t="shared" si="23"/>
        <v>0</v>
      </c>
      <c r="BM24" s="14">
        <f t="shared" si="24"/>
        <v>0</v>
      </c>
      <c r="BN24" s="14">
        <v>0</v>
      </c>
      <c r="BO24" s="14"/>
      <c r="BP24" s="14"/>
      <c r="BQ24" s="14"/>
      <c r="BR24" s="14">
        <v>0</v>
      </c>
      <c r="BS24" s="14"/>
      <c r="BT24" s="14">
        <v>0</v>
      </c>
      <c r="BU24" s="14"/>
      <c r="BV24" s="14">
        <v>0</v>
      </c>
      <c r="BW24" s="14"/>
      <c r="BX24" s="14">
        <v>45361.3</v>
      </c>
      <c r="BY24" s="14">
        <f t="shared" si="25"/>
        <v>45361.3</v>
      </c>
      <c r="BZ24" s="14">
        <f t="shared" si="26"/>
        <v>0</v>
      </c>
      <c r="CA24" s="14">
        <v>42861.3</v>
      </c>
      <c r="CB24" s="14">
        <f t="shared" si="27"/>
        <v>42861.3</v>
      </c>
      <c r="CC24" s="14">
        <f t="shared" si="28"/>
        <v>0</v>
      </c>
      <c r="CD24" s="14">
        <v>0</v>
      </c>
      <c r="CE24" s="14"/>
      <c r="CF24" s="14"/>
      <c r="CG24" s="14">
        <v>0</v>
      </c>
      <c r="CH24" s="14"/>
      <c r="CI24" s="14">
        <v>1472.0546999999999</v>
      </c>
      <c r="CJ24" s="14">
        <v>0.05</v>
      </c>
      <c r="CK24" s="14"/>
      <c r="CL24" s="14">
        <v>0</v>
      </c>
      <c r="CM24" s="14">
        <v>0.1</v>
      </c>
      <c r="CN24" s="14">
        <v>0</v>
      </c>
      <c r="CO24" s="14">
        <v>0</v>
      </c>
      <c r="CP24" s="14">
        <v>0</v>
      </c>
      <c r="CQ24" s="14"/>
      <c r="CR24" s="14">
        <v>0</v>
      </c>
      <c r="CS24" s="14"/>
      <c r="CT24" s="14">
        <v>1500</v>
      </c>
      <c r="CU24" s="14">
        <f t="shared" si="43"/>
        <v>1500</v>
      </c>
      <c r="CV24" s="14">
        <f t="shared" si="44"/>
        <v>0</v>
      </c>
      <c r="CW24" s="14">
        <v>2143.0700000000002</v>
      </c>
      <c r="CX24" s="14">
        <f t="shared" si="31"/>
        <v>2143.0700000000002</v>
      </c>
      <c r="CY24" s="14">
        <f t="shared" si="32"/>
        <v>0</v>
      </c>
      <c r="CZ24" s="14">
        <v>1500</v>
      </c>
      <c r="DA24" s="14">
        <f t="shared" si="33"/>
        <v>1500</v>
      </c>
      <c r="DB24" s="14">
        <f t="shared" si="34"/>
        <v>0</v>
      </c>
      <c r="DC24" s="14">
        <v>2786.13</v>
      </c>
      <c r="DD24" s="14">
        <f t="shared" si="39"/>
        <v>2786.13</v>
      </c>
      <c r="DE24" s="14">
        <f t="shared" si="35"/>
        <v>0</v>
      </c>
      <c r="DF24" s="14">
        <v>41718.230000000003</v>
      </c>
      <c r="DG24" s="14">
        <f t="shared" si="36"/>
        <v>41718.230000000003</v>
      </c>
      <c r="DH24" s="14">
        <f t="shared" si="37"/>
        <v>0</v>
      </c>
      <c r="DI24" s="14">
        <v>0</v>
      </c>
      <c r="DJ24" s="14">
        <f>IFERROR(VLOOKUP(D24,#REF!,2,0),0)</f>
        <v>0</v>
      </c>
      <c r="DK24" s="14">
        <f t="shared" si="38"/>
        <v>0</v>
      </c>
      <c r="DL24" s="14">
        <v>42861.3</v>
      </c>
      <c r="DM24" s="14">
        <v>743455.46</v>
      </c>
      <c r="DN24" s="14">
        <v>3522.92</v>
      </c>
      <c r="DO24" s="14">
        <v>586.29999999999995</v>
      </c>
      <c r="DP24" s="14">
        <v>0</v>
      </c>
      <c r="DQ24" s="14">
        <v>45361.3</v>
      </c>
      <c r="DR24" s="14">
        <v>28</v>
      </c>
      <c r="DS24" s="14">
        <v>0</v>
      </c>
      <c r="DT24" s="5" t="s">
        <v>206</v>
      </c>
      <c r="DU24" s="5" t="s">
        <v>195</v>
      </c>
      <c r="DV24" s="5" t="s">
        <v>196</v>
      </c>
      <c r="DW24" s="5" t="s">
        <v>197</v>
      </c>
    </row>
    <row r="25" spans="1:127" ht="16.5">
      <c r="A25" s="5" t="s">
        <v>184</v>
      </c>
      <c r="B25" s="5" t="s">
        <v>147</v>
      </c>
      <c r="C25" s="5" t="s">
        <v>148</v>
      </c>
      <c r="D25" s="5" t="s">
        <v>341</v>
      </c>
      <c r="E25" s="5" t="e">
        <f>VLOOKUP(D25,#REF!,1,0)</f>
        <v>#REF!</v>
      </c>
      <c r="F25" s="5" t="s">
        <v>342</v>
      </c>
      <c r="G25" s="5" t="s">
        <v>343</v>
      </c>
      <c r="H25" s="5" t="str">
        <f t="shared" si="0"/>
        <v>Chin Yng Emily Lee</v>
      </c>
      <c r="I25" s="5" t="e">
        <f>VLOOKUP(D25,#REF!,9,0)</f>
        <v>#REF!</v>
      </c>
      <c r="J25" s="5" t="e">
        <f t="shared" si="1"/>
        <v>#REF!</v>
      </c>
      <c r="K25" s="5" t="s">
        <v>344</v>
      </c>
      <c r="L25" s="5" t="s">
        <v>151</v>
      </c>
      <c r="M25" s="5" t="s">
        <v>345</v>
      </c>
      <c r="N25" s="10" t="e">
        <f>VLOOKUP(D25,#REF!,80,0)</f>
        <v>#REF!</v>
      </c>
      <c r="O25" s="11" t="e">
        <f t="shared" si="11"/>
        <v>#REF!</v>
      </c>
      <c r="P25" s="5" t="s">
        <v>260</v>
      </c>
      <c r="Q25" s="5" t="e">
        <f>VLOOKUP(D25,#REF!,50,0)</f>
        <v>#REF!</v>
      </c>
      <c r="R25" s="5" t="e">
        <f t="shared" si="12"/>
        <v>#REF!</v>
      </c>
      <c r="S25" s="5" t="s">
        <v>346</v>
      </c>
      <c r="T25" s="5" t="e">
        <f>VLOOKUP(D25,#REF!,21,0)</f>
        <v>#REF!</v>
      </c>
      <c r="U25" s="5" t="e">
        <f t="shared" si="13"/>
        <v>#REF!</v>
      </c>
      <c r="V25" s="5" t="s">
        <v>262</v>
      </c>
      <c r="W25" s="5" t="e">
        <f>VLOOKUP(D25,#REF!,51,0)</f>
        <v>#REF!</v>
      </c>
      <c r="X25" s="5" t="e">
        <f t="shared" si="14"/>
        <v>#REF!</v>
      </c>
      <c r="Y25" s="5" t="s">
        <v>192</v>
      </c>
      <c r="Z25" s="5" t="s">
        <v>193</v>
      </c>
      <c r="AA25" s="14">
        <v>18.260000000000002</v>
      </c>
      <c r="AB25" s="14">
        <v>109287</v>
      </c>
      <c r="AC25" s="14" t="e">
        <f>ROUND(VLOOKUP(D25,#REF!,59,0),0)</f>
        <v>#REF!</v>
      </c>
      <c r="AD25" s="14" t="e">
        <f t="shared" si="40"/>
        <v>#REF!</v>
      </c>
      <c r="AE25" s="14">
        <v>109287</v>
      </c>
      <c r="AF25" s="14">
        <f t="shared" si="41"/>
        <v>109287</v>
      </c>
      <c r="AG25" s="14">
        <f t="shared" si="42"/>
        <v>0</v>
      </c>
      <c r="AH25" s="14">
        <v>0</v>
      </c>
      <c r="AI25" s="14"/>
      <c r="AJ25" s="14"/>
      <c r="AK25" s="14">
        <v>0</v>
      </c>
      <c r="AL25" s="14"/>
      <c r="AM25" s="14"/>
      <c r="AN25" s="14">
        <v>0</v>
      </c>
      <c r="AO25" s="14">
        <v>0</v>
      </c>
      <c r="AP25" s="14">
        <f>IFERROR(VLOOKUP('Feb for check'!D25,#REF!,15,0),0)</f>
        <v>0</v>
      </c>
      <c r="AQ25" s="14">
        <f t="shared" si="18"/>
        <v>0</v>
      </c>
      <c r="AR25" s="14">
        <v>0</v>
      </c>
      <c r="AS25" s="14">
        <f t="shared" si="19"/>
        <v>0</v>
      </c>
      <c r="AT25" s="14">
        <f t="shared" si="20"/>
        <v>0</v>
      </c>
      <c r="AU25" s="14">
        <v>0</v>
      </c>
      <c r="AV25" s="14"/>
      <c r="AW25" s="14">
        <v>0</v>
      </c>
      <c r="AX25" s="14"/>
      <c r="AY25" s="14">
        <v>0</v>
      </c>
      <c r="AZ25" s="14"/>
      <c r="BA25" s="14">
        <v>4362.63</v>
      </c>
      <c r="BB25" s="14">
        <f>IFERROR(VLOOKUP(D25,#REF!,2,0),0)</f>
        <v>0</v>
      </c>
      <c r="BC25" s="14" t="e">
        <f>MAX(VLOOKUP(D25,#REF!,13,0)-VLOOKUP(D25,#REF!,14,0),0)</f>
        <v>#REF!</v>
      </c>
      <c r="BD25" s="14">
        <f>IFERROR(VLOOKUP(D25,#REF!,3,0),0)</f>
        <v>0</v>
      </c>
      <c r="BE25" s="14" t="e">
        <f>MAX(VLOOKUP(D25,#REF!,22,0)-VLOOKUP(D25,#REF!,23,0),0)</f>
        <v>#REF!</v>
      </c>
      <c r="BF25" s="14" t="e">
        <f t="shared" si="21"/>
        <v>#REF!</v>
      </c>
      <c r="BG25" s="14" t="e">
        <f t="shared" si="22"/>
        <v>#REF!</v>
      </c>
      <c r="BH25" s="14">
        <v>0</v>
      </c>
      <c r="BI25" s="14"/>
      <c r="BJ25" s="14"/>
      <c r="BK25" s="14">
        <v>1834</v>
      </c>
      <c r="BL25" s="14">
        <f t="shared" si="23"/>
        <v>1834</v>
      </c>
      <c r="BM25" s="14">
        <f t="shared" si="24"/>
        <v>0</v>
      </c>
      <c r="BN25" s="14">
        <v>0</v>
      </c>
      <c r="BO25" s="14"/>
      <c r="BP25" s="14"/>
      <c r="BQ25" s="14"/>
      <c r="BR25" s="14">
        <v>0</v>
      </c>
      <c r="BS25" s="14"/>
      <c r="BT25" s="14">
        <v>0</v>
      </c>
      <c r="BU25" s="14"/>
      <c r="BV25" s="14">
        <v>0</v>
      </c>
      <c r="BW25" s="14"/>
      <c r="BX25" s="14">
        <v>115483.63</v>
      </c>
      <c r="BY25" s="14">
        <f t="shared" si="25"/>
        <v>115483.63</v>
      </c>
      <c r="BZ25" s="14">
        <f t="shared" si="26"/>
        <v>0</v>
      </c>
      <c r="CA25" s="14">
        <v>113649.63</v>
      </c>
      <c r="CB25" s="14">
        <f t="shared" si="27"/>
        <v>113649.63</v>
      </c>
      <c r="CC25" s="14">
        <f t="shared" si="28"/>
        <v>0</v>
      </c>
      <c r="CD25" s="14">
        <v>0</v>
      </c>
      <c r="CE25" s="14"/>
      <c r="CF25" s="14"/>
      <c r="CG25" s="14">
        <v>0</v>
      </c>
      <c r="CH25" s="14"/>
      <c r="CI25" s="14">
        <v>3592.9971999999998</v>
      </c>
      <c r="CJ25" s="14">
        <v>0.05</v>
      </c>
      <c r="CK25" s="14"/>
      <c r="CL25" s="14">
        <v>0</v>
      </c>
      <c r="CM25" s="14">
        <v>0.1</v>
      </c>
      <c r="CN25" s="14">
        <v>0</v>
      </c>
      <c r="CO25" s="14">
        <v>0</v>
      </c>
      <c r="CP25" s="14">
        <v>0</v>
      </c>
      <c r="CQ25" s="14"/>
      <c r="CR25" s="14">
        <v>0</v>
      </c>
      <c r="CS25" s="14"/>
      <c r="CT25" s="14">
        <v>1500</v>
      </c>
      <c r="CU25" s="14">
        <f t="shared" si="43"/>
        <v>1500</v>
      </c>
      <c r="CV25" s="14">
        <f t="shared" si="44"/>
        <v>0</v>
      </c>
      <c r="CW25" s="14">
        <v>5682.48</v>
      </c>
      <c r="CX25" s="14">
        <f t="shared" si="31"/>
        <v>5682.48</v>
      </c>
      <c r="CY25" s="14">
        <f t="shared" si="32"/>
        <v>0</v>
      </c>
      <c r="CZ25" s="14">
        <v>1500</v>
      </c>
      <c r="DA25" s="14">
        <f t="shared" si="33"/>
        <v>1500</v>
      </c>
      <c r="DB25" s="14">
        <f t="shared" si="34"/>
        <v>0</v>
      </c>
      <c r="DC25" s="14">
        <v>9864.9599999999991</v>
      </c>
      <c r="DD25" s="14">
        <f t="shared" si="39"/>
        <v>9864.9599999999991</v>
      </c>
      <c r="DE25" s="14">
        <f t="shared" si="35"/>
        <v>0</v>
      </c>
      <c r="DF25" s="14">
        <v>108301.15</v>
      </c>
      <c r="DG25" s="14">
        <f t="shared" si="36"/>
        <v>108301.15000000001</v>
      </c>
      <c r="DH25" s="14">
        <f t="shared" si="37"/>
        <v>0</v>
      </c>
      <c r="DI25" s="14">
        <v>8951.7000000000007</v>
      </c>
      <c r="DJ25" s="14">
        <f>IFERROR(VLOOKUP(D25,#REF!,2,0),0)</f>
        <v>0</v>
      </c>
      <c r="DK25" s="14">
        <f t="shared" si="38"/>
        <v>-8951.7000000000007</v>
      </c>
      <c r="DL25" s="14">
        <v>115483.63</v>
      </c>
      <c r="DM25" s="14">
        <v>1958741.22</v>
      </c>
      <c r="DN25" s="14">
        <v>9107.25</v>
      </c>
      <c r="DO25" s="14">
        <v>4362.63</v>
      </c>
      <c r="DP25" s="14">
        <v>0</v>
      </c>
      <c r="DQ25" s="14">
        <v>113649.63</v>
      </c>
      <c r="DR25" s="14">
        <v>28</v>
      </c>
      <c r="DS25" s="14">
        <v>0</v>
      </c>
      <c r="DT25" s="5" t="s">
        <v>206</v>
      </c>
      <c r="DU25" s="5" t="s">
        <v>195</v>
      </c>
      <c r="DV25" s="5" t="s">
        <v>196</v>
      </c>
      <c r="DW25" s="5" t="s">
        <v>197</v>
      </c>
    </row>
    <row r="26" spans="1:127" ht="16.5">
      <c r="A26" s="5" t="s">
        <v>184</v>
      </c>
      <c r="B26" s="5" t="s">
        <v>147</v>
      </c>
      <c r="C26" s="5" t="s">
        <v>148</v>
      </c>
      <c r="D26" s="5" t="s">
        <v>347</v>
      </c>
      <c r="E26" s="5" t="e">
        <f>VLOOKUP(D26,#REF!,1,0)</f>
        <v>#REF!</v>
      </c>
      <c r="F26" s="5" t="s">
        <v>348</v>
      </c>
      <c r="G26" s="5" t="s">
        <v>349</v>
      </c>
      <c r="H26" s="5" t="str">
        <f t="shared" si="0"/>
        <v>Wai Fan Tang</v>
      </c>
      <c r="I26" s="5" t="e">
        <f>VLOOKUP(D26,#REF!,9,0)</f>
        <v>#REF!</v>
      </c>
      <c r="J26" s="5" t="e">
        <f t="shared" si="1"/>
        <v>#REF!</v>
      </c>
      <c r="K26" s="5" t="s">
        <v>350</v>
      </c>
      <c r="L26" s="5" t="s">
        <v>151</v>
      </c>
      <c r="M26" s="5" t="s">
        <v>351</v>
      </c>
      <c r="N26" s="10" t="e">
        <f>VLOOKUP(D26,#REF!,80,0)</f>
        <v>#REF!</v>
      </c>
      <c r="O26" s="11" t="e">
        <f t="shared" si="11"/>
        <v>#REF!</v>
      </c>
      <c r="P26" s="5" t="s">
        <v>352</v>
      </c>
      <c r="Q26" s="5" t="e">
        <f>VLOOKUP(D26,#REF!,50,0)</f>
        <v>#REF!</v>
      </c>
      <c r="R26" s="5" t="e">
        <f t="shared" si="12"/>
        <v>#REF!</v>
      </c>
      <c r="S26" s="5" t="s">
        <v>353</v>
      </c>
      <c r="T26" s="5" t="e">
        <f>VLOOKUP(D26,#REF!,21,0)</f>
        <v>#REF!</v>
      </c>
      <c r="U26" s="5" t="e">
        <f t="shared" si="13"/>
        <v>#REF!</v>
      </c>
      <c r="V26" s="5" t="s">
        <v>354</v>
      </c>
      <c r="W26" s="5" t="e">
        <f>VLOOKUP(D26,#REF!,51,0)</f>
        <v>#REF!</v>
      </c>
      <c r="X26" s="5" t="e">
        <f t="shared" si="14"/>
        <v>#REF!</v>
      </c>
      <c r="Y26" s="5" t="s">
        <v>192</v>
      </c>
      <c r="Z26" s="5" t="s">
        <v>193</v>
      </c>
      <c r="AA26" s="14">
        <v>0.44</v>
      </c>
      <c r="AB26" s="14">
        <v>42500</v>
      </c>
      <c r="AC26" s="14" t="e">
        <f>ROUND(VLOOKUP(D26,#REF!,59,0),0)</f>
        <v>#REF!</v>
      </c>
      <c r="AD26" s="14" t="e">
        <f t="shared" si="40"/>
        <v>#REF!</v>
      </c>
      <c r="AE26" s="14">
        <v>42500</v>
      </c>
      <c r="AF26" s="14">
        <f t="shared" si="41"/>
        <v>42500</v>
      </c>
      <c r="AG26" s="14">
        <f t="shared" si="42"/>
        <v>0</v>
      </c>
      <c r="AH26" s="14">
        <v>0</v>
      </c>
      <c r="AI26" s="14"/>
      <c r="AJ26" s="14"/>
      <c r="AK26" s="14">
        <v>0</v>
      </c>
      <c r="AL26" s="14"/>
      <c r="AM26" s="14"/>
      <c r="AN26" s="14">
        <v>0</v>
      </c>
      <c r="AO26" s="14">
        <v>0</v>
      </c>
      <c r="AP26" s="14">
        <f>IFERROR(VLOOKUP('Feb for check'!D26,#REF!,15,0),0)</f>
        <v>0</v>
      </c>
      <c r="AQ26" s="14">
        <f t="shared" si="18"/>
        <v>0</v>
      </c>
      <c r="AR26" s="14">
        <v>0</v>
      </c>
      <c r="AS26" s="14">
        <f t="shared" si="19"/>
        <v>0</v>
      </c>
      <c r="AT26" s="14">
        <f t="shared" si="20"/>
        <v>0</v>
      </c>
      <c r="AU26" s="14">
        <v>0</v>
      </c>
      <c r="AV26" s="14"/>
      <c r="AW26" s="14">
        <v>0</v>
      </c>
      <c r="AX26" s="14"/>
      <c r="AY26" s="14">
        <v>0</v>
      </c>
      <c r="AZ26" s="14"/>
      <c r="BA26" s="14">
        <v>0</v>
      </c>
      <c r="BB26" s="14">
        <f>IFERROR(VLOOKUP(D26,#REF!,2,0),0)</f>
        <v>0</v>
      </c>
      <c r="BC26" s="14" t="e">
        <f>MAX(VLOOKUP(D26,#REF!,13,0)-VLOOKUP(D26,#REF!,14,0),0)</f>
        <v>#REF!</v>
      </c>
      <c r="BD26" s="14">
        <f>IFERROR(VLOOKUP(D26,#REF!,3,0),0)</f>
        <v>0</v>
      </c>
      <c r="BE26" s="14" t="e">
        <f>MAX(VLOOKUP(D26,#REF!,22,0)-VLOOKUP(D26,#REF!,23,0),0)</f>
        <v>#REF!</v>
      </c>
      <c r="BF26" s="14" t="e">
        <f t="shared" si="21"/>
        <v>#REF!</v>
      </c>
      <c r="BG26" s="14" t="e">
        <f t="shared" si="22"/>
        <v>#REF!</v>
      </c>
      <c r="BH26" s="14">
        <v>0</v>
      </c>
      <c r="BI26" s="14"/>
      <c r="BJ26" s="14"/>
      <c r="BK26" s="14">
        <v>0</v>
      </c>
      <c r="BL26" s="14">
        <f t="shared" si="23"/>
        <v>0</v>
      </c>
      <c r="BM26" s="14">
        <f t="shared" si="24"/>
        <v>0</v>
      </c>
      <c r="BN26" s="14">
        <v>0</v>
      </c>
      <c r="BO26" s="14"/>
      <c r="BP26" s="14"/>
      <c r="BQ26" s="14"/>
      <c r="BR26" s="14">
        <v>0</v>
      </c>
      <c r="BS26" s="14"/>
      <c r="BT26" s="14">
        <v>0</v>
      </c>
      <c r="BU26" s="14"/>
      <c r="BV26" s="14">
        <v>0</v>
      </c>
      <c r="BW26" s="14"/>
      <c r="BX26" s="14">
        <v>42500</v>
      </c>
      <c r="BY26" s="14">
        <f t="shared" si="25"/>
        <v>42500</v>
      </c>
      <c r="BZ26" s="14">
        <f t="shared" si="26"/>
        <v>0</v>
      </c>
      <c r="CA26" s="14">
        <v>42500</v>
      </c>
      <c r="CB26" s="14">
        <f t="shared" si="27"/>
        <v>42500</v>
      </c>
      <c r="CC26" s="14">
        <f t="shared" si="28"/>
        <v>0</v>
      </c>
      <c r="CD26" s="14">
        <v>0</v>
      </c>
      <c r="CE26" s="14"/>
      <c r="CF26" s="14"/>
      <c r="CG26" s="14">
        <v>0</v>
      </c>
      <c r="CH26" s="14"/>
      <c r="CI26" s="14">
        <v>1397.2601999999999</v>
      </c>
      <c r="CJ26" s="14">
        <v>0</v>
      </c>
      <c r="CK26" s="14"/>
      <c r="CL26" s="14">
        <v>0</v>
      </c>
      <c r="CM26" s="14">
        <v>7.4999999999999997E-2</v>
      </c>
      <c r="CN26" s="14">
        <v>0</v>
      </c>
      <c r="CO26" s="14">
        <v>0</v>
      </c>
      <c r="CP26" s="14">
        <v>0</v>
      </c>
      <c r="CQ26" s="14"/>
      <c r="CR26" s="14">
        <v>0</v>
      </c>
      <c r="CS26" s="14"/>
      <c r="CT26" s="14">
        <v>1500</v>
      </c>
      <c r="CU26" s="14">
        <f t="shared" si="43"/>
        <v>1500</v>
      </c>
      <c r="CV26" s="14">
        <f t="shared" si="44"/>
        <v>0</v>
      </c>
      <c r="CW26" s="14">
        <v>0</v>
      </c>
      <c r="CX26" s="14">
        <f t="shared" si="31"/>
        <v>0</v>
      </c>
      <c r="CY26" s="14">
        <f t="shared" si="32"/>
        <v>0</v>
      </c>
      <c r="CZ26" s="14">
        <v>1500</v>
      </c>
      <c r="DA26" s="14">
        <f t="shared" si="33"/>
        <v>1500</v>
      </c>
      <c r="DB26" s="14">
        <f t="shared" si="34"/>
        <v>0</v>
      </c>
      <c r="DC26" s="14">
        <v>1687.5</v>
      </c>
      <c r="DD26" s="14">
        <f t="shared" si="39"/>
        <v>1687.5</v>
      </c>
      <c r="DE26" s="14">
        <f t="shared" si="35"/>
        <v>0</v>
      </c>
      <c r="DF26" s="14">
        <v>41000</v>
      </c>
      <c r="DG26" s="14">
        <f t="shared" si="36"/>
        <v>41000</v>
      </c>
      <c r="DH26" s="14">
        <f t="shared" si="37"/>
        <v>0</v>
      </c>
      <c r="DI26" s="14">
        <v>0</v>
      </c>
      <c r="DJ26" s="14">
        <f>IFERROR(VLOOKUP(D26,#REF!,2,0),0)</f>
        <v>0</v>
      </c>
      <c r="DK26" s="14">
        <f t="shared" si="38"/>
        <v>0</v>
      </c>
      <c r="DL26" s="14">
        <v>42500</v>
      </c>
      <c r="DM26" s="14">
        <v>255036.13</v>
      </c>
      <c r="DN26" s="14">
        <v>3541.67</v>
      </c>
      <c r="DO26" s="14">
        <v>0</v>
      </c>
      <c r="DP26" s="14">
        <v>0</v>
      </c>
      <c r="DQ26" s="14">
        <v>42500</v>
      </c>
      <c r="DR26" s="14">
        <v>28</v>
      </c>
      <c r="DS26" s="14">
        <v>0</v>
      </c>
      <c r="DT26" s="5" t="s">
        <v>206</v>
      </c>
      <c r="DU26" s="5" t="s">
        <v>195</v>
      </c>
      <c r="DV26" s="5" t="s">
        <v>196</v>
      </c>
      <c r="DW26" s="5" t="s">
        <v>197</v>
      </c>
    </row>
    <row r="27" spans="1:127" ht="16.5">
      <c r="A27" s="5" t="s">
        <v>184</v>
      </c>
      <c r="B27" s="5" t="s">
        <v>147</v>
      </c>
      <c r="C27" s="5" t="s">
        <v>148</v>
      </c>
      <c r="D27" s="5" t="s">
        <v>355</v>
      </c>
      <c r="E27" s="5" t="e">
        <f>VLOOKUP(D27,#REF!,1,0)</f>
        <v>#REF!</v>
      </c>
      <c r="F27" s="5" t="s">
        <v>356</v>
      </c>
      <c r="G27" s="5" t="s">
        <v>357</v>
      </c>
      <c r="H27" s="5" t="str">
        <f t="shared" si="0"/>
        <v>Cho Sze Chung</v>
      </c>
      <c r="I27" s="5" t="e">
        <f>VLOOKUP(D27,#REF!,9,0)</f>
        <v>#REF!</v>
      </c>
      <c r="J27" s="5" t="e">
        <f t="shared" si="1"/>
        <v>#REF!</v>
      </c>
      <c r="K27" s="5" t="s">
        <v>358</v>
      </c>
      <c r="L27" s="5" t="s">
        <v>151</v>
      </c>
      <c r="M27" s="5" t="s">
        <v>359</v>
      </c>
      <c r="N27" s="10" t="e">
        <f>VLOOKUP(D27,#REF!,80,0)</f>
        <v>#REF!</v>
      </c>
      <c r="O27" s="11" t="e">
        <f t="shared" si="11"/>
        <v>#REF!</v>
      </c>
      <c r="P27" s="5" t="s">
        <v>352</v>
      </c>
      <c r="Q27" s="5" t="e">
        <f>VLOOKUP(D27,#REF!,50,0)</f>
        <v>#REF!</v>
      </c>
      <c r="R27" s="5" t="e">
        <f t="shared" si="12"/>
        <v>#REF!</v>
      </c>
      <c r="S27" s="5" t="s">
        <v>360</v>
      </c>
      <c r="T27" s="5" t="e">
        <f>VLOOKUP(D27,#REF!,21,0)</f>
        <v>#REF!</v>
      </c>
      <c r="U27" s="5" t="e">
        <f t="shared" si="13"/>
        <v>#REF!</v>
      </c>
      <c r="V27" s="5" t="s">
        <v>354</v>
      </c>
      <c r="W27" s="5" t="e">
        <f>VLOOKUP(D27,#REF!,51,0)</f>
        <v>#REF!</v>
      </c>
      <c r="X27" s="5" t="e">
        <f t="shared" si="14"/>
        <v>#REF!</v>
      </c>
      <c r="Y27" s="5" t="s">
        <v>192</v>
      </c>
      <c r="Z27" s="5" t="s">
        <v>193</v>
      </c>
      <c r="AA27" s="14">
        <v>3.12</v>
      </c>
      <c r="AB27" s="14">
        <v>94279</v>
      </c>
      <c r="AC27" s="14" t="e">
        <f>ROUND(VLOOKUP(D27,#REF!,59,0),0)</f>
        <v>#REF!</v>
      </c>
      <c r="AD27" s="14" t="e">
        <f t="shared" si="40"/>
        <v>#REF!</v>
      </c>
      <c r="AE27" s="14">
        <v>94279</v>
      </c>
      <c r="AF27" s="14">
        <f t="shared" si="41"/>
        <v>94279</v>
      </c>
      <c r="AG27" s="14">
        <f t="shared" si="42"/>
        <v>0</v>
      </c>
      <c r="AH27" s="14">
        <v>0</v>
      </c>
      <c r="AI27" s="14"/>
      <c r="AJ27" s="14"/>
      <c r="AK27" s="14">
        <v>0</v>
      </c>
      <c r="AL27" s="14"/>
      <c r="AM27" s="14"/>
      <c r="AN27" s="14">
        <v>0</v>
      </c>
      <c r="AO27" s="14">
        <v>0</v>
      </c>
      <c r="AP27" s="14">
        <f>IFERROR(VLOOKUP('Feb for check'!D27,#REF!,15,0),0)</f>
        <v>0</v>
      </c>
      <c r="AQ27" s="14">
        <f t="shared" si="18"/>
        <v>0</v>
      </c>
      <c r="AR27" s="14">
        <v>0</v>
      </c>
      <c r="AS27" s="14">
        <f t="shared" si="19"/>
        <v>0</v>
      </c>
      <c r="AT27" s="14">
        <f t="shared" si="20"/>
        <v>0</v>
      </c>
      <c r="AU27" s="14">
        <v>0</v>
      </c>
      <c r="AV27" s="14"/>
      <c r="AW27" s="14">
        <v>0</v>
      </c>
      <c r="AX27" s="14"/>
      <c r="AY27" s="14">
        <v>0</v>
      </c>
      <c r="AZ27" s="14"/>
      <c r="BA27" s="14">
        <v>983.22</v>
      </c>
      <c r="BB27" s="14">
        <f>IFERROR(VLOOKUP(D27,#REF!,2,0),0)</f>
        <v>0</v>
      </c>
      <c r="BC27" s="14" t="e">
        <f>MAX(VLOOKUP(D27,#REF!,13,0)-VLOOKUP(D27,#REF!,14,0),0)</f>
        <v>#REF!</v>
      </c>
      <c r="BD27" s="14">
        <f>IFERROR(VLOOKUP(D27,#REF!,3,0),0)</f>
        <v>0</v>
      </c>
      <c r="BE27" s="14" t="e">
        <f>MAX(VLOOKUP(D27,#REF!,22,0)-VLOOKUP(D27,#REF!,23,0),0)</f>
        <v>#REF!</v>
      </c>
      <c r="BF27" s="14" t="e">
        <f t="shared" si="21"/>
        <v>#REF!</v>
      </c>
      <c r="BG27" s="14" t="e">
        <f t="shared" si="22"/>
        <v>#REF!</v>
      </c>
      <c r="BH27" s="14">
        <v>0</v>
      </c>
      <c r="BI27" s="14"/>
      <c r="BJ27" s="14"/>
      <c r="BK27" s="14">
        <v>2347</v>
      </c>
      <c r="BL27" s="14">
        <f t="shared" si="23"/>
        <v>2347</v>
      </c>
      <c r="BM27" s="14">
        <f t="shared" si="24"/>
        <v>0</v>
      </c>
      <c r="BN27" s="14">
        <v>0</v>
      </c>
      <c r="BO27" s="14"/>
      <c r="BP27" s="14"/>
      <c r="BQ27" s="14"/>
      <c r="BR27" s="14">
        <v>0</v>
      </c>
      <c r="BS27" s="14"/>
      <c r="BT27" s="14">
        <v>0</v>
      </c>
      <c r="BU27" s="14"/>
      <c r="BV27" s="14">
        <v>0</v>
      </c>
      <c r="BW27" s="14"/>
      <c r="BX27" s="14">
        <v>97609.22</v>
      </c>
      <c r="BY27" s="14">
        <f t="shared" si="25"/>
        <v>97609.22</v>
      </c>
      <c r="BZ27" s="14">
        <f t="shared" si="26"/>
        <v>0</v>
      </c>
      <c r="CA27" s="14">
        <v>95262.22</v>
      </c>
      <c r="CB27" s="14">
        <f t="shared" si="27"/>
        <v>95262.22</v>
      </c>
      <c r="CC27" s="14">
        <f t="shared" si="28"/>
        <v>0</v>
      </c>
      <c r="CD27" s="14">
        <v>0</v>
      </c>
      <c r="CE27" s="14"/>
      <c r="CF27" s="14"/>
      <c r="CG27" s="14">
        <v>0</v>
      </c>
      <c r="CH27" s="14"/>
      <c r="CI27" s="14">
        <v>3099.5835000000002</v>
      </c>
      <c r="CJ27" s="14">
        <v>0</v>
      </c>
      <c r="CK27" s="14"/>
      <c r="CL27" s="14">
        <v>0</v>
      </c>
      <c r="CM27" s="14">
        <v>7.4999999999999997E-2</v>
      </c>
      <c r="CN27" s="14">
        <v>0</v>
      </c>
      <c r="CO27" s="14">
        <v>0</v>
      </c>
      <c r="CP27" s="14">
        <v>0</v>
      </c>
      <c r="CQ27" s="14"/>
      <c r="CR27" s="14">
        <v>0</v>
      </c>
      <c r="CS27" s="14"/>
      <c r="CT27" s="14">
        <v>1500</v>
      </c>
      <c r="CU27" s="14">
        <f t="shared" si="43"/>
        <v>1500</v>
      </c>
      <c r="CV27" s="14">
        <f t="shared" si="44"/>
        <v>0</v>
      </c>
      <c r="CW27" s="14">
        <v>0</v>
      </c>
      <c r="CX27" s="14">
        <f t="shared" si="31"/>
        <v>0</v>
      </c>
      <c r="CY27" s="14">
        <f t="shared" si="32"/>
        <v>0</v>
      </c>
      <c r="CZ27" s="14">
        <v>1500</v>
      </c>
      <c r="DA27" s="14">
        <f t="shared" si="33"/>
        <v>1500</v>
      </c>
      <c r="DB27" s="14">
        <f t="shared" si="34"/>
        <v>0</v>
      </c>
      <c r="DC27" s="14">
        <v>5644.67</v>
      </c>
      <c r="DD27" s="14">
        <f t="shared" si="39"/>
        <v>5644.67</v>
      </c>
      <c r="DE27" s="14">
        <f t="shared" si="35"/>
        <v>0</v>
      </c>
      <c r="DF27" s="14">
        <v>96109.22</v>
      </c>
      <c r="DG27" s="14">
        <f t="shared" si="36"/>
        <v>96109.22</v>
      </c>
      <c r="DH27" s="14">
        <f t="shared" si="37"/>
        <v>0</v>
      </c>
      <c r="DI27" s="14">
        <v>11457.72</v>
      </c>
      <c r="DJ27" s="14">
        <f>IFERROR(VLOOKUP(D27,#REF!,2,0),0)</f>
        <v>0</v>
      </c>
      <c r="DK27" s="14">
        <f t="shared" si="38"/>
        <v>-11457.72</v>
      </c>
      <c r="DL27" s="14">
        <v>97609.22</v>
      </c>
      <c r="DM27" s="14">
        <v>1584218.78</v>
      </c>
      <c r="DN27" s="14">
        <v>7856.58</v>
      </c>
      <c r="DO27" s="14">
        <v>983.22</v>
      </c>
      <c r="DP27" s="14">
        <v>0</v>
      </c>
      <c r="DQ27" s="14">
        <v>95262.22</v>
      </c>
      <c r="DR27" s="14">
        <v>28</v>
      </c>
      <c r="DS27" s="14">
        <v>0</v>
      </c>
      <c r="DT27" s="5" t="s">
        <v>206</v>
      </c>
      <c r="DU27" s="5" t="s">
        <v>195</v>
      </c>
      <c r="DV27" s="5" t="s">
        <v>196</v>
      </c>
      <c r="DW27" s="5" t="s">
        <v>197</v>
      </c>
    </row>
    <row r="28" spans="1:127" ht="16.5">
      <c r="A28" s="5" t="s">
        <v>184</v>
      </c>
      <c r="B28" s="5" t="s">
        <v>147</v>
      </c>
      <c r="C28" s="5" t="s">
        <v>148</v>
      </c>
      <c r="D28" s="5" t="s">
        <v>361</v>
      </c>
      <c r="E28" s="5" t="e">
        <f>VLOOKUP(D28,#REF!,1,0)</f>
        <v>#REF!</v>
      </c>
      <c r="F28" s="5" t="s">
        <v>296</v>
      </c>
      <c r="G28" s="5" t="s">
        <v>362</v>
      </c>
      <c r="H28" s="5" t="str">
        <f t="shared" si="0"/>
        <v>Tsz Yan Choi</v>
      </c>
      <c r="I28" s="5" t="e">
        <f>VLOOKUP(D28,#REF!,9,0)</f>
        <v>#REF!</v>
      </c>
      <c r="J28" s="5" t="e">
        <f t="shared" si="1"/>
        <v>#REF!</v>
      </c>
      <c r="K28" s="5" t="s">
        <v>363</v>
      </c>
      <c r="L28" s="5" t="s">
        <v>151</v>
      </c>
      <c r="M28" s="5" t="s">
        <v>364</v>
      </c>
      <c r="N28" s="10" t="e">
        <f>VLOOKUP(D28,#REF!,80,0)</f>
        <v>#REF!</v>
      </c>
      <c r="O28" s="11" t="e">
        <f t="shared" si="11"/>
        <v>#REF!</v>
      </c>
      <c r="P28" s="5" t="s">
        <v>365</v>
      </c>
      <c r="Q28" s="5" t="e">
        <f>VLOOKUP(D28,#REF!,50,0)</f>
        <v>#REF!</v>
      </c>
      <c r="R28" s="5" t="e">
        <f t="shared" si="12"/>
        <v>#REF!</v>
      </c>
      <c r="S28" s="5" t="s">
        <v>366</v>
      </c>
      <c r="T28" s="5" t="e">
        <f>VLOOKUP(D28,#REF!,21,0)</f>
        <v>#REF!</v>
      </c>
      <c r="U28" s="5" t="e">
        <f t="shared" si="13"/>
        <v>#REF!</v>
      </c>
      <c r="V28" s="5" t="s">
        <v>367</v>
      </c>
      <c r="W28" s="5" t="e">
        <f>VLOOKUP(D28,#REF!,51,0)</f>
        <v>#REF!</v>
      </c>
      <c r="X28" s="5" t="e">
        <f t="shared" si="14"/>
        <v>#REF!</v>
      </c>
      <c r="Y28" s="5" t="s">
        <v>192</v>
      </c>
      <c r="Z28" s="5" t="s">
        <v>193</v>
      </c>
      <c r="AA28" s="14">
        <v>7.3</v>
      </c>
      <c r="AB28" s="14">
        <v>34993</v>
      </c>
      <c r="AC28" s="14" t="e">
        <f>ROUND(VLOOKUP(D28,#REF!,59,0),0)</f>
        <v>#REF!</v>
      </c>
      <c r="AD28" s="14" t="e">
        <f t="shared" si="40"/>
        <v>#REF!</v>
      </c>
      <c r="AE28" s="14">
        <v>34993</v>
      </c>
      <c r="AF28" s="14">
        <f t="shared" si="41"/>
        <v>34993</v>
      </c>
      <c r="AG28" s="14">
        <f t="shared" si="42"/>
        <v>0</v>
      </c>
      <c r="AH28" s="14">
        <v>0</v>
      </c>
      <c r="AI28" s="14"/>
      <c r="AJ28" s="14"/>
      <c r="AK28" s="14">
        <v>0</v>
      </c>
      <c r="AL28" s="14"/>
      <c r="AM28" s="14"/>
      <c r="AN28" s="14">
        <v>0</v>
      </c>
      <c r="AO28" s="14">
        <v>2500</v>
      </c>
      <c r="AP28" s="14">
        <f>IFERROR(VLOOKUP('Feb for check'!D28,#REF!,15,0),0)</f>
        <v>0</v>
      </c>
      <c r="AQ28" s="14">
        <f t="shared" si="18"/>
        <v>-2500</v>
      </c>
      <c r="AR28" s="14">
        <v>2500</v>
      </c>
      <c r="AS28" s="14">
        <f t="shared" si="19"/>
        <v>2500</v>
      </c>
      <c r="AT28" s="14">
        <f t="shared" si="20"/>
        <v>0</v>
      </c>
      <c r="AU28" s="14">
        <v>0</v>
      </c>
      <c r="AV28" s="14"/>
      <c r="AW28" s="14">
        <v>0</v>
      </c>
      <c r="AX28" s="14"/>
      <c r="AY28" s="14">
        <v>0</v>
      </c>
      <c r="AZ28" s="14"/>
      <c r="BA28" s="14">
        <v>257.26</v>
      </c>
      <c r="BB28" s="14">
        <f>IFERROR(VLOOKUP(D28,#REF!,2,0),0)</f>
        <v>0</v>
      </c>
      <c r="BC28" s="14" t="e">
        <f>MAX(VLOOKUP(D28,#REF!,13,0)-VLOOKUP(D28,#REF!,14,0),0)</f>
        <v>#REF!</v>
      </c>
      <c r="BD28" s="14">
        <f>IFERROR(VLOOKUP(D28,#REF!,3,0),0)</f>
        <v>0</v>
      </c>
      <c r="BE28" s="14" t="e">
        <f>MAX(VLOOKUP(D28,#REF!,22,0)-VLOOKUP(D28,#REF!,23,0),0)</f>
        <v>#REF!</v>
      </c>
      <c r="BF28" s="14" t="e">
        <f t="shared" si="21"/>
        <v>#REF!</v>
      </c>
      <c r="BG28" s="14" t="e">
        <f t="shared" si="22"/>
        <v>#REF!</v>
      </c>
      <c r="BH28" s="14">
        <v>0</v>
      </c>
      <c r="BI28" s="14"/>
      <c r="BJ28" s="14"/>
      <c r="BK28" s="14">
        <v>0</v>
      </c>
      <c r="BL28" s="14">
        <f t="shared" si="23"/>
        <v>0</v>
      </c>
      <c r="BM28" s="14">
        <f t="shared" si="24"/>
        <v>0</v>
      </c>
      <c r="BN28" s="14">
        <v>0</v>
      </c>
      <c r="BO28" s="14"/>
      <c r="BP28" s="14"/>
      <c r="BQ28" s="14"/>
      <c r="BR28" s="14">
        <v>0</v>
      </c>
      <c r="BS28" s="14"/>
      <c r="BT28" s="14">
        <v>0</v>
      </c>
      <c r="BU28" s="14"/>
      <c r="BV28" s="14">
        <v>0</v>
      </c>
      <c r="BW28" s="14"/>
      <c r="BX28" s="14">
        <v>37750.26</v>
      </c>
      <c r="BY28" s="14">
        <f t="shared" si="25"/>
        <v>37750.26</v>
      </c>
      <c r="BZ28" s="14">
        <f t="shared" si="26"/>
        <v>0</v>
      </c>
      <c r="CA28" s="14">
        <v>35250.26</v>
      </c>
      <c r="CB28" s="14">
        <f t="shared" si="27"/>
        <v>35250.26</v>
      </c>
      <c r="CC28" s="14">
        <f t="shared" si="28"/>
        <v>0</v>
      </c>
      <c r="CD28" s="14">
        <v>0</v>
      </c>
      <c r="CE28" s="14"/>
      <c r="CF28" s="14"/>
      <c r="CG28" s="14">
        <v>0</v>
      </c>
      <c r="CH28" s="14"/>
      <c r="CI28" s="14">
        <v>1232.6465000000001</v>
      </c>
      <c r="CJ28" s="14">
        <v>0.04</v>
      </c>
      <c r="CK28" s="14"/>
      <c r="CL28" s="14">
        <v>0</v>
      </c>
      <c r="CM28" s="14">
        <v>9.5000000000000001E-2</v>
      </c>
      <c r="CN28" s="14">
        <v>0</v>
      </c>
      <c r="CO28" s="14">
        <v>0</v>
      </c>
      <c r="CP28" s="14">
        <v>0</v>
      </c>
      <c r="CQ28" s="14"/>
      <c r="CR28" s="14">
        <v>0</v>
      </c>
      <c r="CS28" s="14"/>
      <c r="CT28" s="14">
        <v>1500</v>
      </c>
      <c r="CU28" s="14">
        <f t="shared" si="43"/>
        <v>1500</v>
      </c>
      <c r="CV28" s="14">
        <f t="shared" si="44"/>
        <v>0</v>
      </c>
      <c r="CW28" s="14">
        <v>1410.01</v>
      </c>
      <c r="CX28" s="14">
        <f t="shared" si="31"/>
        <v>1410.01</v>
      </c>
      <c r="CY28" s="14">
        <f t="shared" si="32"/>
        <v>0</v>
      </c>
      <c r="CZ28" s="14">
        <v>1500</v>
      </c>
      <c r="DA28" s="14">
        <f t="shared" si="33"/>
        <v>1500</v>
      </c>
      <c r="DB28" s="14">
        <f t="shared" si="34"/>
        <v>0</v>
      </c>
      <c r="DC28" s="14">
        <v>1848.77</v>
      </c>
      <c r="DD28" s="14">
        <f t="shared" si="39"/>
        <v>1848.77</v>
      </c>
      <c r="DE28" s="14">
        <f t="shared" si="35"/>
        <v>0</v>
      </c>
      <c r="DF28" s="14">
        <v>34840.25</v>
      </c>
      <c r="DG28" s="14">
        <f t="shared" si="36"/>
        <v>34840.25</v>
      </c>
      <c r="DH28" s="14">
        <f t="shared" si="37"/>
        <v>0</v>
      </c>
      <c r="DI28" s="14">
        <v>0</v>
      </c>
      <c r="DJ28" s="14">
        <f>IFERROR(VLOOKUP(D28,#REF!,2,0),0)</f>
        <v>0</v>
      </c>
      <c r="DK28" s="14">
        <f t="shared" si="38"/>
        <v>0</v>
      </c>
      <c r="DL28" s="14">
        <v>35250.26</v>
      </c>
      <c r="DM28" s="14">
        <v>656028.19999999995</v>
      </c>
      <c r="DN28" s="14">
        <v>2916.08</v>
      </c>
      <c r="DO28" s="14">
        <v>257.26</v>
      </c>
      <c r="DP28" s="14">
        <v>0</v>
      </c>
      <c r="DQ28" s="14">
        <v>37750.26</v>
      </c>
      <c r="DR28" s="14">
        <v>28</v>
      </c>
      <c r="DS28" s="14">
        <v>0</v>
      </c>
      <c r="DT28" s="5" t="s">
        <v>206</v>
      </c>
      <c r="DU28" s="5" t="s">
        <v>195</v>
      </c>
      <c r="DV28" s="5" t="s">
        <v>196</v>
      </c>
      <c r="DW28" s="5" t="s">
        <v>197</v>
      </c>
    </row>
    <row r="29" spans="1:127" ht="16.5">
      <c r="A29" s="5" t="s">
        <v>184</v>
      </c>
      <c r="B29" s="5" t="s">
        <v>147</v>
      </c>
      <c r="C29" s="5" t="s">
        <v>148</v>
      </c>
      <c r="D29" s="5" t="s">
        <v>368</v>
      </c>
      <c r="E29" s="5" t="e">
        <f>VLOOKUP(D29,#REF!,1,0)</f>
        <v>#REF!</v>
      </c>
      <c r="F29" s="5" t="s">
        <v>369</v>
      </c>
      <c r="G29" s="5" t="s">
        <v>370</v>
      </c>
      <c r="H29" s="5" t="str">
        <f t="shared" si="0"/>
        <v>Yu Ki Chan</v>
      </c>
      <c r="I29" s="5" t="e">
        <f>VLOOKUP(D29,#REF!,9,0)</f>
        <v>#REF!</v>
      </c>
      <c r="J29" s="5" t="e">
        <f t="shared" si="1"/>
        <v>#REF!</v>
      </c>
      <c r="K29" s="5" t="s">
        <v>371</v>
      </c>
      <c r="L29" s="5" t="s">
        <v>151</v>
      </c>
      <c r="M29" s="5" t="s">
        <v>372</v>
      </c>
      <c r="N29" s="10" t="e">
        <f>VLOOKUP(D29,#REF!,80,0)</f>
        <v>#REF!</v>
      </c>
      <c r="O29" s="11" t="e">
        <f t="shared" si="11"/>
        <v>#REF!</v>
      </c>
      <c r="P29" s="5" t="s">
        <v>275</v>
      </c>
      <c r="Q29" s="5" t="e">
        <f>VLOOKUP(D29,#REF!,50,0)</f>
        <v>#REF!</v>
      </c>
      <c r="R29" s="5" t="e">
        <f t="shared" si="12"/>
        <v>#REF!</v>
      </c>
      <c r="S29" s="5" t="s">
        <v>373</v>
      </c>
      <c r="T29" s="5" t="e">
        <f>VLOOKUP(D29,#REF!,21,0)</f>
        <v>#REF!</v>
      </c>
      <c r="U29" s="5" t="e">
        <f t="shared" si="13"/>
        <v>#REF!</v>
      </c>
      <c r="V29" s="5" t="s">
        <v>277</v>
      </c>
      <c r="W29" s="5" t="e">
        <f>VLOOKUP(D29,#REF!,51,0)</f>
        <v>#REF!</v>
      </c>
      <c r="X29" s="5" t="e">
        <f t="shared" si="14"/>
        <v>#REF!</v>
      </c>
      <c r="Y29" s="5" t="s">
        <v>192</v>
      </c>
      <c r="Z29" s="5" t="s">
        <v>193</v>
      </c>
      <c r="AA29" s="14">
        <v>0.16</v>
      </c>
      <c r="AB29" s="14">
        <v>49200</v>
      </c>
      <c r="AC29" s="14" t="e">
        <f>ROUND(VLOOKUP(D29,#REF!,59,0),0)</f>
        <v>#REF!</v>
      </c>
      <c r="AD29" s="14" t="e">
        <f t="shared" si="40"/>
        <v>#REF!</v>
      </c>
      <c r="AE29" s="14">
        <v>49200</v>
      </c>
      <c r="AF29" s="14">
        <f t="shared" si="41"/>
        <v>49200</v>
      </c>
      <c r="AG29" s="14">
        <f t="shared" si="42"/>
        <v>0</v>
      </c>
      <c r="AH29" s="14">
        <v>0</v>
      </c>
      <c r="AI29" s="14"/>
      <c r="AJ29" s="14"/>
      <c r="AK29" s="14">
        <v>0</v>
      </c>
      <c r="AL29" s="14"/>
      <c r="AM29" s="14"/>
      <c r="AN29" s="14">
        <v>0</v>
      </c>
      <c r="AO29" s="14">
        <v>2500</v>
      </c>
      <c r="AP29" s="14">
        <f>IFERROR(VLOOKUP('Feb for check'!D29,#REF!,15,0),0)</f>
        <v>0</v>
      </c>
      <c r="AQ29" s="14">
        <f t="shared" si="18"/>
        <v>-2500</v>
      </c>
      <c r="AR29" s="14">
        <v>2500</v>
      </c>
      <c r="AS29" s="14">
        <f t="shared" si="19"/>
        <v>2500</v>
      </c>
      <c r="AT29" s="14">
        <f t="shared" si="20"/>
        <v>0</v>
      </c>
      <c r="AU29" s="14">
        <v>0</v>
      </c>
      <c r="AV29" s="14"/>
      <c r="AW29" s="14">
        <v>0</v>
      </c>
      <c r="AX29" s="14"/>
      <c r="AY29" s="14">
        <v>0</v>
      </c>
      <c r="AZ29" s="14"/>
      <c r="BA29" s="14">
        <v>0</v>
      </c>
      <c r="BB29" s="14">
        <f>IFERROR(VLOOKUP(D29,#REF!,2,0),0)</f>
        <v>0</v>
      </c>
      <c r="BC29" s="14" t="e">
        <f>MAX(VLOOKUP(D29,#REF!,13,0)-VLOOKUP(D29,#REF!,14,0),0)</f>
        <v>#REF!</v>
      </c>
      <c r="BD29" s="14">
        <f>IFERROR(VLOOKUP(D29,#REF!,3,0),0)</f>
        <v>0</v>
      </c>
      <c r="BE29" s="14" t="e">
        <f>MAX(VLOOKUP(D29,#REF!,22,0)-VLOOKUP(D29,#REF!,23,0),0)</f>
        <v>#REF!</v>
      </c>
      <c r="BF29" s="14" t="e">
        <f t="shared" si="21"/>
        <v>#REF!</v>
      </c>
      <c r="BG29" s="14" t="e">
        <f t="shared" si="22"/>
        <v>#REF!</v>
      </c>
      <c r="BH29" s="14">
        <v>0</v>
      </c>
      <c r="BI29" s="14"/>
      <c r="BJ29" s="14"/>
      <c r="BK29" s="14">
        <v>0</v>
      </c>
      <c r="BL29" s="14">
        <f t="shared" si="23"/>
        <v>0</v>
      </c>
      <c r="BM29" s="14">
        <f t="shared" si="24"/>
        <v>0</v>
      </c>
      <c r="BN29" s="14">
        <v>0</v>
      </c>
      <c r="BO29" s="14"/>
      <c r="BP29" s="14"/>
      <c r="BQ29" s="14"/>
      <c r="BR29" s="14">
        <v>0</v>
      </c>
      <c r="BS29" s="14"/>
      <c r="BT29" s="14">
        <v>5815.62</v>
      </c>
      <c r="BU29" s="14" t="e">
        <f>VLOOKUP(D29,#REF!,28,0)</f>
        <v>#REF!</v>
      </c>
      <c r="BV29" s="14">
        <v>0</v>
      </c>
      <c r="BW29" s="14"/>
      <c r="BX29" s="14">
        <v>57515.62</v>
      </c>
      <c r="BY29" s="14">
        <f t="shared" si="25"/>
        <v>57515.62</v>
      </c>
      <c r="BZ29" s="14">
        <f t="shared" si="26"/>
        <v>0</v>
      </c>
      <c r="CA29" s="14">
        <v>49200</v>
      </c>
      <c r="CB29" s="14">
        <f t="shared" si="27"/>
        <v>49200</v>
      </c>
      <c r="CC29" s="14">
        <f t="shared" si="28"/>
        <v>0</v>
      </c>
      <c r="CD29" s="14">
        <v>0</v>
      </c>
      <c r="CE29" s="14"/>
      <c r="CF29" s="14"/>
      <c r="CG29" s="14">
        <v>0</v>
      </c>
      <c r="CH29" s="14"/>
      <c r="CI29" s="14">
        <v>1699.7260000000001</v>
      </c>
      <c r="CJ29" s="14">
        <v>0</v>
      </c>
      <c r="CK29" s="14"/>
      <c r="CL29" s="14">
        <v>0</v>
      </c>
      <c r="CM29" s="14">
        <v>7.4999999999999997E-2</v>
      </c>
      <c r="CN29" s="14">
        <v>0</v>
      </c>
      <c r="CO29" s="14">
        <v>0</v>
      </c>
      <c r="CP29" s="14">
        <v>0</v>
      </c>
      <c r="CQ29" s="14"/>
      <c r="CR29" s="14">
        <v>0</v>
      </c>
      <c r="CS29" s="14"/>
      <c r="CT29" s="14">
        <v>0</v>
      </c>
      <c r="CU29" s="14">
        <f t="shared" si="43"/>
        <v>1500</v>
      </c>
      <c r="CV29" s="14" t="s">
        <v>194</v>
      </c>
      <c r="CW29" s="14">
        <v>0</v>
      </c>
      <c r="CX29" s="14">
        <f t="shared" si="31"/>
        <v>0</v>
      </c>
      <c r="CY29" s="14">
        <f t="shared" si="32"/>
        <v>0</v>
      </c>
      <c r="CZ29" s="14">
        <v>0</v>
      </c>
      <c r="DA29" s="14">
        <f t="shared" si="33"/>
        <v>1500</v>
      </c>
      <c r="DB29" s="14" t="s">
        <v>194</v>
      </c>
      <c r="DC29" s="14">
        <v>0</v>
      </c>
      <c r="DD29" s="14">
        <f t="shared" si="39"/>
        <v>3690</v>
      </c>
      <c r="DE29" s="14" t="s">
        <v>194</v>
      </c>
      <c r="DF29" s="14">
        <v>57515.62</v>
      </c>
      <c r="DG29" s="14">
        <f t="shared" si="36"/>
        <v>57515.62</v>
      </c>
      <c r="DH29" s="14">
        <f t="shared" si="37"/>
        <v>0</v>
      </c>
      <c r="DI29" s="14">
        <v>0</v>
      </c>
      <c r="DJ29" s="14">
        <f>IFERROR(VLOOKUP(D29,#REF!,2,0),0)</f>
        <v>0</v>
      </c>
      <c r="DK29" s="14">
        <f t="shared" si="38"/>
        <v>0</v>
      </c>
      <c r="DL29" s="14">
        <v>55015.62</v>
      </c>
      <c r="DM29" s="14">
        <v>101429.43</v>
      </c>
      <c r="DN29" s="14">
        <v>4100</v>
      </c>
      <c r="DO29" s="14">
        <v>0</v>
      </c>
      <c r="DP29" s="14">
        <v>0</v>
      </c>
      <c r="DQ29" s="14">
        <v>51700</v>
      </c>
      <c r="DR29" s="14">
        <v>28</v>
      </c>
      <c r="DS29" s="14">
        <v>0</v>
      </c>
      <c r="DT29" s="5" t="s">
        <v>372</v>
      </c>
      <c r="DU29" s="5" t="s">
        <v>195</v>
      </c>
      <c r="DV29" s="5" t="s">
        <v>196</v>
      </c>
      <c r="DW29" s="5" t="s">
        <v>197</v>
      </c>
    </row>
    <row r="30" spans="1:127" ht="16.5">
      <c r="A30" s="5" t="s">
        <v>184</v>
      </c>
      <c r="B30" s="5" t="s">
        <v>147</v>
      </c>
      <c r="C30" s="5" t="s">
        <v>148</v>
      </c>
      <c r="D30" s="5" t="s">
        <v>374</v>
      </c>
      <c r="E30" s="5" t="e">
        <f>VLOOKUP(D30,#REF!,1,0)</f>
        <v>#REF!</v>
      </c>
      <c r="F30" s="5" t="s">
        <v>375</v>
      </c>
      <c r="G30" s="5" t="s">
        <v>376</v>
      </c>
      <c r="H30" s="5" t="str">
        <f t="shared" si="0"/>
        <v>Kam Wing So</v>
      </c>
      <c r="I30" s="5" t="e">
        <f>VLOOKUP(D30,#REF!,9,0)</f>
        <v>#REF!</v>
      </c>
      <c r="J30" s="5" t="e">
        <f t="shared" si="1"/>
        <v>#REF!</v>
      </c>
      <c r="K30" s="5" t="s">
        <v>377</v>
      </c>
      <c r="L30" s="5" t="s">
        <v>151</v>
      </c>
      <c r="M30" s="5" t="s">
        <v>378</v>
      </c>
      <c r="N30" s="10" t="e">
        <f>VLOOKUP(D30,#REF!,80,0)</f>
        <v>#REF!</v>
      </c>
      <c r="O30" s="11" t="e">
        <f t="shared" si="11"/>
        <v>#REF!</v>
      </c>
      <c r="P30" s="5" t="s">
        <v>365</v>
      </c>
      <c r="Q30" s="5" t="e">
        <f>VLOOKUP(D30,#REF!,50,0)</f>
        <v>#REF!</v>
      </c>
      <c r="R30" s="5" t="e">
        <f t="shared" si="12"/>
        <v>#REF!</v>
      </c>
      <c r="S30" s="5" t="s">
        <v>379</v>
      </c>
      <c r="T30" s="5" t="e">
        <f>VLOOKUP(D30,#REF!,21,0)</f>
        <v>#REF!</v>
      </c>
      <c r="U30" s="5" t="e">
        <f t="shared" si="13"/>
        <v>#REF!</v>
      </c>
      <c r="V30" s="5" t="s">
        <v>367</v>
      </c>
      <c r="W30" s="5" t="e">
        <f>VLOOKUP(D30,#REF!,51,0)</f>
        <v>#REF!</v>
      </c>
      <c r="X30" s="5" t="e">
        <f t="shared" si="14"/>
        <v>#REF!</v>
      </c>
      <c r="Y30" s="5" t="s">
        <v>192</v>
      </c>
      <c r="Z30" s="5" t="s">
        <v>193</v>
      </c>
      <c r="AA30" s="14">
        <v>2.41</v>
      </c>
      <c r="AB30" s="14">
        <v>47978</v>
      </c>
      <c r="AC30" s="14" t="e">
        <f>ROUND(VLOOKUP(D30,#REF!,59,0),0)</f>
        <v>#REF!</v>
      </c>
      <c r="AD30" s="14" t="e">
        <f t="shared" si="40"/>
        <v>#REF!</v>
      </c>
      <c r="AE30" s="14">
        <v>47978</v>
      </c>
      <c r="AF30" s="14">
        <f t="shared" si="41"/>
        <v>47978</v>
      </c>
      <c r="AG30" s="14">
        <f t="shared" si="42"/>
        <v>0</v>
      </c>
      <c r="AH30" s="14">
        <v>0</v>
      </c>
      <c r="AI30" s="14"/>
      <c r="AJ30" s="14"/>
      <c r="AK30" s="14">
        <v>0</v>
      </c>
      <c r="AL30" s="14"/>
      <c r="AM30" s="14"/>
      <c r="AN30" s="14">
        <v>0</v>
      </c>
      <c r="AO30" s="14">
        <v>2500</v>
      </c>
      <c r="AP30" s="14">
        <f>IFERROR(VLOOKUP('Feb for check'!D30,#REF!,15,0),0)</f>
        <v>0</v>
      </c>
      <c r="AQ30" s="14">
        <f t="shared" si="18"/>
        <v>-2500</v>
      </c>
      <c r="AR30" s="14">
        <v>2500</v>
      </c>
      <c r="AS30" s="14">
        <f t="shared" si="19"/>
        <v>2500</v>
      </c>
      <c r="AT30" s="14">
        <f t="shared" si="20"/>
        <v>0</v>
      </c>
      <c r="AU30" s="14">
        <v>0</v>
      </c>
      <c r="AV30" s="14"/>
      <c r="AW30" s="14">
        <v>0</v>
      </c>
      <c r="AX30" s="14"/>
      <c r="AY30" s="14">
        <v>0</v>
      </c>
      <c r="AZ30" s="14"/>
      <c r="BA30" s="14">
        <v>714.12</v>
      </c>
      <c r="BB30" s="14">
        <f>IFERROR(VLOOKUP(D30,#REF!,2,0),0)</f>
        <v>0</v>
      </c>
      <c r="BC30" s="14" t="e">
        <f>MAX(VLOOKUP(D30,#REF!,13,0)-VLOOKUP(D30,#REF!,14,0),0)</f>
        <v>#REF!</v>
      </c>
      <c r="BD30" s="14">
        <f>IFERROR(VLOOKUP(D30,#REF!,3,0),0)</f>
        <v>0</v>
      </c>
      <c r="BE30" s="14" t="e">
        <f>MAX(VLOOKUP(D30,#REF!,22,0)-VLOOKUP(D30,#REF!,23,0),0)</f>
        <v>#REF!</v>
      </c>
      <c r="BF30" s="14" t="e">
        <f t="shared" si="21"/>
        <v>#REF!</v>
      </c>
      <c r="BG30" s="14" t="e">
        <f t="shared" si="22"/>
        <v>#REF!</v>
      </c>
      <c r="BH30" s="14">
        <v>0</v>
      </c>
      <c r="BI30" s="14"/>
      <c r="BJ30" s="14"/>
      <c r="BK30" s="14">
        <v>0</v>
      </c>
      <c r="BL30" s="14">
        <f t="shared" si="23"/>
        <v>0</v>
      </c>
      <c r="BM30" s="14">
        <f t="shared" si="24"/>
        <v>0</v>
      </c>
      <c r="BN30" s="14">
        <v>0</v>
      </c>
      <c r="BO30" s="14"/>
      <c r="BP30" s="14"/>
      <c r="BQ30" s="14"/>
      <c r="BR30" s="14">
        <v>0</v>
      </c>
      <c r="BS30" s="14"/>
      <c r="BT30" s="14">
        <v>0</v>
      </c>
      <c r="BU30" s="14"/>
      <c r="BV30" s="14">
        <v>0</v>
      </c>
      <c r="BW30" s="14"/>
      <c r="BX30" s="14">
        <v>51192.12</v>
      </c>
      <c r="BY30" s="14">
        <f t="shared" si="25"/>
        <v>51192.12</v>
      </c>
      <c r="BZ30" s="14">
        <f t="shared" si="26"/>
        <v>0</v>
      </c>
      <c r="CA30" s="14">
        <v>48692.12</v>
      </c>
      <c r="CB30" s="14">
        <f t="shared" si="27"/>
        <v>48692.12</v>
      </c>
      <c r="CC30" s="14">
        <f t="shared" si="28"/>
        <v>0</v>
      </c>
      <c r="CD30" s="14">
        <v>0</v>
      </c>
      <c r="CE30" s="14"/>
      <c r="CF30" s="14"/>
      <c r="CG30" s="14">
        <v>0</v>
      </c>
      <c r="CH30" s="14"/>
      <c r="CI30" s="14">
        <v>1659.5506</v>
      </c>
      <c r="CJ30" s="14">
        <v>0</v>
      </c>
      <c r="CK30" s="14"/>
      <c r="CL30" s="14">
        <v>0</v>
      </c>
      <c r="CM30" s="14">
        <v>7.4999999999999997E-2</v>
      </c>
      <c r="CN30" s="14">
        <v>0</v>
      </c>
      <c r="CO30" s="14">
        <v>0</v>
      </c>
      <c r="CP30" s="14">
        <v>0</v>
      </c>
      <c r="CQ30" s="14"/>
      <c r="CR30" s="14">
        <v>0</v>
      </c>
      <c r="CS30" s="14"/>
      <c r="CT30" s="14">
        <v>1500</v>
      </c>
      <c r="CU30" s="14">
        <f t="shared" si="43"/>
        <v>1500</v>
      </c>
      <c r="CV30" s="14">
        <f t="shared" si="44"/>
        <v>0</v>
      </c>
      <c r="CW30" s="14">
        <v>0</v>
      </c>
      <c r="CX30" s="14">
        <f t="shared" si="31"/>
        <v>0</v>
      </c>
      <c r="CY30" s="14">
        <f t="shared" si="32"/>
        <v>0</v>
      </c>
      <c r="CZ30" s="14">
        <v>1500</v>
      </c>
      <c r="DA30" s="14">
        <f t="shared" si="33"/>
        <v>1500</v>
      </c>
      <c r="DB30" s="14">
        <f t="shared" si="34"/>
        <v>0</v>
      </c>
      <c r="DC30" s="14">
        <v>2151.91</v>
      </c>
      <c r="DD30" s="14">
        <f t="shared" si="39"/>
        <v>2151.91</v>
      </c>
      <c r="DE30" s="14">
        <f t="shared" si="35"/>
        <v>0</v>
      </c>
      <c r="DF30" s="14">
        <v>49692.12</v>
      </c>
      <c r="DG30" s="14">
        <f t="shared" si="36"/>
        <v>49692.12</v>
      </c>
      <c r="DH30" s="14">
        <f t="shared" si="37"/>
        <v>0</v>
      </c>
      <c r="DI30" s="14">
        <v>0</v>
      </c>
      <c r="DJ30" s="14">
        <f>IFERROR(VLOOKUP(D30,#REF!,2,0),0)</f>
        <v>0</v>
      </c>
      <c r="DK30" s="14">
        <f t="shared" si="38"/>
        <v>0</v>
      </c>
      <c r="DL30" s="14">
        <v>48692.12</v>
      </c>
      <c r="DM30" s="14">
        <v>844291.21</v>
      </c>
      <c r="DN30" s="14">
        <v>3998.17</v>
      </c>
      <c r="DO30" s="14">
        <v>714.12</v>
      </c>
      <c r="DP30" s="14">
        <v>0</v>
      </c>
      <c r="DQ30" s="14">
        <v>51192.12</v>
      </c>
      <c r="DR30" s="14">
        <v>28</v>
      </c>
      <c r="DS30" s="14">
        <v>0</v>
      </c>
      <c r="DT30" s="5" t="s">
        <v>206</v>
      </c>
      <c r="DU30" s="5" t="s">
        <v>195</v>
      </c>
      <c r="DV30" s="5" t="s">
        <v>196</v>
      </c>
      <c r="DW30" s="5" t="s">
        <v>197</v>
      </c>
    </row>
    <row r="31" spans="1:127" ht="16.5">
      <c r="A31" s="5" t="s">
        <v>184</v>
      </c>
      <c r="B31" s="5" t="s">
        <v>147</v>
      </c>
      <c r="C31" s="5" t="s">
        <v>148</v>
      </c>
      <c r="D31" s="5" t="s">
        <v>380</v>
      </c>
      <c r="E31" s="5" t="e">
        <f>VLOOKUP(D31,#REF!,1,0)</f>
        <v>#REF!</v>
      </c>
      <c r="F31" s="5" t="s">
        <v>348</v>
      </c>
      <c r="G31" s="5" t="s">
        <v>381</v>
      </c>
      <c r="H31" s="5" t="str">
        <f t="shared" si="0"/>
        <v>Siu Kwan Tang</v>
      </c>
      <c r="I31" s="5" t="e">
        <f>VLOOKUP(D31,#REF!,9,0)</f>
        <v>#REF!</v>
      </c>
      <c r="J31" s="5" t="e">
        <f t="shared" si="1"/>
        <v>#REF!</v>
      </c>
      <c r="K31" s="5" t="s">
        <v>382</v>
      </c>
      <c r="L31" s="5" t="s">
        <v>151</v>
      </c>
      <c r="M31" s="5" t="s">
        <v>383</v>
      </c>
      <c r="N31" s="10" t="e">
        <f>VLOOKUP(D31,#REF!,80,0)</f>
        <v>#REF!</v>
      </c>
      <c r="O31" s="11" t="e">
        <f t="shared" si="11"/>
        <v>#REF!</v>
      </c>
      <c r="P31" s="5" t="s">
        <v>384</v>
      </c>
      <c r="Q31" s="5" t="e">
        <f>VLOOKUP(D31,#REF!,50,0)</f>
        <v>#REF!</v>
      </c>
      <c r="R31" s="5" t="e">
        <f t="shared" si="12"/>
        <v>#REF!</v>
      </c>
      <c r="S31" s="5" t="s">
        <v>385</v>
      </c>
      <c r="T31" s="5" t="e">
        <f>VLOOKUP(D31,#REF!,21,0)</f>
        <v>#REF!</v>
      </c>
      <c r="U31" s="5" t="e">
        <f t="shared" si="13"/>
        <v>#REF!</v>
      </c>
      <c r="V31" s="5" t="s">
        <v>386</v>
      </c>
      <c r="W31" s="5" t="e">
        <f>VLOOKUP(D31,#REF!,51,0)</f>
        <v>#REF!</v>
      </c>
      <c r="X31" s="5" t="e">
        <f t="shared" si="14"/>
        <v>#REF!</v>
      </c>
      <c r="Y31" s="5" t="s">
        <v>192</v>
      </c>
      <c r="Z31" s="5" t="s">
        <v>193</v>
      </c>
      <c r="AA31" s="14">
        <v>2.75</v>
      </c>
      <c r="AB31" s="14">
        <v>66156</v>
      </c>
      <c r="AC31" s="14" t="e">
        <f>ROUND(VLOOKUP(D31,#REF!,59,0),0)</f>
        <v>#REF!</v>
      </c>
      <c r="AD31" s="14" t="e">
        <f t="shared" si="40"/>
        <v>#REF!</v>
      </c>
      <c r="AE31" s="14">
        <v>66156</v>
      </c>
      <c r="AF31" s="14">
        <f t="shared" si="41"/>
        <v>66156</v>
      </c>
      <c r="AG31" s="14">
        <f t="shared" si="42"/>
        <v>0</v>
      </c>
      <c r="AH31" s="14">
        <v>0</v>
      </c>
      <c r="AI31" s="14"/>
      <c r="AJ31" s="14"/>
      <c r="AK31" s="14">
        <v>0</v>
      </c>
      <c r="AL31" s="14"/>
      <c r="AM31" s="14"/>
      <c r="AN31" s="14">
        <v>0</v>
      </c>
      <c r="AO31" s="14">
        <v>0</v>
      </c>
      <c r="AP31" s="14">
        <f>IFERROR(VLOOKUP('Feb for check'!D31,#REF!,15,0),0)</f>
        <v>0</v>
      </c>
      <c r="AQ31" s="14">
        <f t="shared" si="18"/>
        <v>0</v>
      </c>
      <c r="AR31" s="14">
        <v>0</v>
      </c>
      <c r="AS31" s="14">
        <f t="shared" si="19"/>
        <v>0</v>
      </c>
      <c r="AT31" s="14">
        <f t="shared" si="20"/>
        <v>0</v>
      </c>
      <c r="AU31" s="14">
        <v>0</v>
      </c>
      <c r="AV31" s="14"/>
      <c r="AW31" s="14">
        <v>0</v>
      </c>
      <c r="AX31" s="14"/>
      <c r="AY31" s="14">
        <v>0</v>
      </c>
      <c r="AZ31" s="14"/>
      <c r="BA31" s="14">
        <v>0</v>
      </c>
      <c r="BB31" s="14">
        <f>IFERROR(VLOOKUP(D31,#REF!,2,0),0)</f>
        <v>0</v>
      </c>
      <c r="BC31" s="14" t="e">
        <f>MAX(VLOOKUP(D31,#REF!,13,0)-VLOOKUP(D31,#REF!,14,0),0)</f>
        <v>#REF!</v>
      </c>
      <c r="BD31" s="14">
        <f>IFERROR(VLOOKUP(D31,#REF!,3,0),0)</f>
        <v>0</v>
      </c>
      <c r="BE31" s="14" t="e">
        <f>MAX(VLOOKUP(D31,#REF!,22,0)-VLOOKUP(D31,#REF!,23,0),0)</f>
        <v>#REF!</v>
      </c>
      <c r="BF31" s="14" t="e">
        <f t="shared" si="21"/>
        <v>#REF!</v>
      </c>
      <c r="BG31" s="14" t="e">
        <f t="shared" si="22"/>
        <v>#REF!</v>
      </c>
      <c r="BH31" s="14">
        <v>0</v>
      </c>
      <c r="BI31" s="14"/>
      <c r="BJ31" s="14"/>
      <c r="BK31" s="14">
        <v>0</v>
      </c>
      <c r="BL31" s="14">
        <f t="shared" si="23"/>
        <v>0</v>
      </c>
      <c r="BM31" s="14">
        <f t="shared" si="24"/>
        <v>0</v>
      </c>
      <c r="BN31" s="14">
        <v>0</v>
      </c>
      <c r="BO31" s="14"/>
      <c r="BP31" s="14"/>
      <c r="BQ31" s="14"/>
      <c r="BR31" s="14">
        <v>0</v>
      </c>
      <c r="BS31" s="14"/>
      <c r="BT31" s="14">
        <v>0</v>
      </c>
      <c r="BU31" s="14"/>
      <c r="BV31" s="14">
        <v>0</v>
      </c>
      <c r="BW31" s="14"/>
      <c r="BX31" s="14">
        <v>66156</v>
      </c>
      <c r="BY31" s="14">
        <f t="shared" si="25"/>
        <v>66156</v>
      </c>
      <c r="BZ31" s="14">
        <f t="shared" si="26"/>
        <v>0</v>
      </c>
      <c r="CA31" s="14">
        <v>66156</v>
      </c>
      <c r="CB31" s="14">
        <f t="shared" si="27"/>
        <v>66156</v>
      </c>
      <c r="CC31" s="14">
        <f t="shared" si="28"/>
        <v>0</v>
      </c>
      <c r="CD31" s="14">
        <v>0</v>
      </c>
      <c r="CE31" s="14"/>
      <c r="CF31" s="14"/>
      <c r="CG31" s="14">
        <v>0</v>
      </c>
      <c r="CH31" s="14"/>
      <c r="CI31" s="14">
        <v>2174.9917</v>
      </c>
      <c r="CJ31" s="14">
        <v>0</v>
      </c>
      <c r="CK31" s="14"/>
      <c r="CL31" s="14">
        <v>0</v>
      </c>
      <c r="CM31" s="14">
        <v>7.4999999999999997E-2</v>
      </c>
      <c r="CN31" s="14">
        <v>0</v>
      </c>
      <c r="CO31" s="14">
        <v>0</v>
      </c>
      <c r="CP31" s="14">
        <v>0</v>
      </c>
      <c r="CQ31" s="14"/>
      <c r="CR31" s="14">
        <v>0</v>
      </c>
      <c r="CS31" s="14"/>
      <c r="CT31" s="14">
        <v>1500</v>
      </c>
      <c r="CU31" s="14">
        <f t="shared" si="43"/>
        <v>1500</v>
      </c>
      <c r="CV31" s="14">
        <f t="shared" si="44"/>
        <v>0</v>
      </c>
      <c r="CW31" s="14">
        <v>0</v>
      </c>
      <c r="CX31" s="14">
        <f t="shared" si="31"/>
        <v>0</v>
      </c>
      <c r="CY31" s="14">
        <f t="shared" si="32"/>
        <v>0</v>
      </c>
      <c r="CZ31" s="14">
        <v>1500</v>
      </c>
      <c r="DA31" s="14">
        <f t="shared" si="33"/>
        <v>1500</v>
      </c>
      <c r="DB31" s="14">
        <f t="shared" si="34"/>
        <v>0</v>
      </c>
      <c r="DC31" s="14">
        <v>3461.7</v>
      </c>
      <c r="DD31" s="14">
        <f t="shared" si="39"/>
        <v>3461.7</v>
      </c>
      <c r="DE31" s="14">
        <f t="shared" si="35"/>
        <v>0</v>
      </c>
      <c r="DF31" s="14">
        <v>64656</v>
      </c>
      <c r="DG31" s="14">
        <f t="shared" si="36"/>
        <v>64656</v>
      </c>
      <c r="DH31" s="14">
        <f t="shared" si="37"/>
        <v>0</v>
      </c>
      <c r="DI31" s="14">
        <v>0</v>
      </c>
      <c r="DJ31" s="14">
        <f>IFERROR(VLOOKUP(D31,#REF!,2,0),0)</f>
        <v>0</v>
      </c>
      <c r="DK31" s="14">
        <f t="shared" si="38"/>
        <v>0</v>
      </c>
      <c r="DL31" s="14">
        <v>66156</v>
      </c>
      <c r="DM31" s="14">
        <v>1060978.8700000001</v>
      </c>
      <c r="DN31" s="14">
        <v>5513</v>
      </c>
      <c r="DO31" s="14">
        <v>0</v>
      </c>
      <c r="DP31" s="14">
        <v>0</v>
      </c>
      <c r="DQ31" s="14">
        <v>66156</v>
      </c>
      <c r="DR31" s="14">
        <v>28</v>
      </c>
      <c r="DS31" s="14">
        <v>0</v>
      </c>
      <c r="DT31" s="5" t="s">
        <v>206</v>
      </c>
      <c r="DU31" s="5" t="s">
        <v>195</v>
      </c>
      <c r="DV31" s="5" t="s">
        <v>196</v>
      </c>
      <c r="DW31" s="5" t="s">
        <v>197</v>
      </c>
    </row>
    <row r="32" spans="1:127" ht="16.5">
      <c r="A32" s="5" t="s">
        <v>184</v>
      </c>
      <c r="B32" s="5" t="s">
        <v>147</v>
      </c>
      <c r="C32" s="5" t="s">
        <v>148</v>
      </c>
      <c r="D32" s="5" t="s">
        <v>387</v>
      </c>
      <c r="E32" s="5" t="e">
        <f>VLOOKUP(D32,#REF!,1,0)</f>
        <v>#REF!</v>
      </c>
      <c r="F32" s="5" t="s">
        <v>301</v>
      </c>
      <c r="G32" s="5" t="s">
        <v>388</v>
      </c>
      <c r="H32" s="5" t="str">
        <f t="shared" si="0"/>
        <v>Man Kee Chu</v>
      </c>
      <c r="I32" s="5" t="e">
        <f>VLOOKUP(D32,#REF!,9,0)</f>
        <v>#REF!</v>
      </c>
      <c r="J32" s="5" t="e">
        <f t="shared" si="1"/>
        <v>#REF!</v>
      </c>
      <c r="K32" s="5" t="s">
        <v>389</v>
      </c>
      <c r="L32" s="5" t="s">
        <v>151</v>
      </c>
      <c r="M32" s="5" t="s">
        <v>390</v>
      </c>
      <c r="N32" s="10" t="e">
        <f>VLOOKUP(D32,#REF!,80,0)</f>
        <v>#REF!</v>
      </c>
      <c r="O32" s="11" t="e">
        <f t="shared" si="11"/>
        <v>#REF!</v>
      </c>
      <c r="P32" s="5" t="s">
        <v>153</v>
      </c>
      <c r="Q32" s="5" t="e">
        <f>VLOOKUP(D32,#REF!,50,0)</f>
        <v>#REF!</v>
      </c>
      <c r="R32" s="5" t="e">
        <f t="shared" si="12"/>
        <v>#REF!</v>
      </c>
      <c r="S32" s="5" t="s">
        <v>391</v>
      </c>
      <c r="T32" s="5" t="e">
        <f>VLOOKUP(D32,#REF!,21,0)</f>
        <v>#REF!</v>
      </c>
      <c r="U32" s="5" t="e">
        <f t="shared" si="13"/>
        <v>#REF!</v>
      </c>
      <c r="V32" s="5" t="s">
        <v>212</v>
      </c>
      <c r="W32" s="5" t="e">
        <f>VLOOKUP(D32,#REF!,51,0)</f>
        <v>#REF!</v>
      </c>
      <c r="X32" s="5" t="e">
        <f t="shared" si="14"/>
        <v>#REF!</v>
      </c>
      <c r="Y32" s="5" t="s">
        <v>192</v>
      </c>
      <c r="Z32" s="5" t="s">
        <v>193</v>
      </c>
      <c r="AA32" s="14">
        <v>2</v>
      </c>
      <c r="AB32" s="14">
        <v>99621.62</v>
      </c>
      <c r="AC32" s="15" t="e">
        <f>ROUND(VLOOKUP(D32,#REF!,59,0),0)</f>
        <v>#REF!</v>
      </c>
      <c r="AD32" s="14" t="e">
        <f t="shared" si="40"/>
        <v>#REF!</v>
      </c>
      <c r="AE32" s="14">
        <v>102523.24</v>
      </c>
      <c r="AF32" s="15" t="e">
        <f>AB32+AB32-VLOOKUP(D32,#REF!,14,0)</f>
        <v>#REF!</v>
      </c>
      <c r="AG32" s="14" t="e">
        <f t="shared" si="42"/>
        <v>#REF!</v>
      </c>
      <c r="AH32" s="14">
        <v>0</v>
      </c>
      <c r="AI32" s="14"/>
      <c r="AJ32" s="14"/>
      <c r="AK32" s="14">
        <v>0</v>
      </c>
      <c r="AL32" s="14"/>
      <c r="AM32" s="14"/>
      <c r="AN32" s="14">
        <v>0</v>
      </c>
      <c r="AO32" s="14">
        <v>0</v>
      </c>
      <c r="AP32" s="14">
        <f>IFERROR(VLOOKUP('Feb for check'!D32,#REF!,15,0),0)</f>
        <v>0</v>
      </c>
      <c r="AQ32" s="14">
        <f t="shared" si="18"/>
        <v>0</v>
      </c>
      <c r="AR32" s="14">
        <v>0</v>
      </c>
      <c r="AS32" s="14">
        <f t="shared" si="19"/>
        <v>0</v>
      </c>
      <c r="AT32" s="14">
        <f t="shared" si="20"/>
        <v>0</v>
      </c>
      <c r="AU32" s="14">
        <v>0</v>
      </c>
      <c r="AV32" s="14"/>
      <c r="AW32" s="14">
        <v>0</v>
      </c>
      <c r="AX32" s="14"/>
      <c r="AY32" s="14">
        <v>0</v>
      </c>
      <c r="AZ32" s="14"/>
      <c r="BA32" s="14">
        <v>0</v>
      </c>
      <c r="BB32" s="14">
        <f>IFERROR(VLOOKUP(D32,#REF!,2,0),0)</f>
        <v>0</v>
      </c>
      <c r="BC32" s="14" t="e">
        <f>MAX(VLOOKUP(D32,#REF!,13,0)-VLOOKUP(D32,#REF!,14,0),0)</f>
        <v>#REF!</v>
      </c>
      <c r="BD32" s="14">
        <f>IFERROR(VLOOKUP(D32,#REF!,3,0),0)</f>
        <v>0</v>
      </c>
      <c r="BE32" s="14" t="e">
        <f>MAX(VLOOKUP(D32,#REF!,22,0)-VLOOKUP(D32,#REF!,23,0),0)</f>
        <v>#REF!</v>
      </c>
      <c r="BF32" s="14" t="e">
        <f t="shared" si="21"/>
        <v>#REF!</v>
      </c>
      <c r="BG32" s="14" t="e">
        <f t="shared" si="22"/>
        <v>#REF!</v>
      </c>
      <c r="BH32" s="14">
        <v>0</v>
      </c>
      <c r="BI32" s="14"/>
      <c r="BJ32" s="14"/>
      <c r="BK32" s="14">
        <v>917</v>
      </c>
      <c r="BL32" s="14">
        <f t="shared" si="23"/>
        <v>917</v>
      </c>
      <c r="BM32" s="14">
        <f t="shared" si="24"/>
        <v>0</v>
      </c>
      <c r="BN32" s="14">
        <v>0</v>
      </c>
      <c r="BO32" s="14"/>
      <c r="BP32" s="14"/>
      <c r="BQ32" s="14"/>
      <c r="BR32" s="14">
        <v>0</v>
      </c>
      <c r="BS32" s="14"/>
      <c r="BT32" s="14">
        <v>0</v>
      </c>
      <c r="BU32" s="14"/>
      <c r="BV32" s="14">
        <v>0</v>
      </c>
      <c r="BW32" s="14"/>
      <c r="BX32" s="14">
        <v>103440.24</v>
      </c>
      <c r="BY32" s="14">
        <f t="shared" si="25"/>
        <v>103440.24</v>
      </c>
      <c r="BZ32" s="14">
        <f t="shared" si="26"/>
        <v>0</v>
      </c>
      <c r="CA32" s="14">
        <v>102523.24</v>
      </c>
      <c r="CB32" s="14">
        <f t="shared" si="27"/>
        <v>102523.24</v>
      </c>
      <c r="CC32" s="14">
        <f t="shared" si="28"/>
        <v>0</v>
      </c>
      <c r="CD32" s="14">
        <v>0</v>
      </c>
      <c r="CE32" s="14"/>
      <c r="CF32" s="14"/>
      <c r="CG32" s="14">
        <v>0</v>
      </c>
      <c r="CH32" s="14"/>
      <c r="CI32" s="14">
        <v>3179.8355999999999</v>
      </c>
      <c r="CJ32" s="14">
        <v>0.05</v>
      </c>
      <c r="CK32" s="14"/>
      <c r="CL32" s="14">
        <v>0</v>
      </c>
      <c r="CM32" s="14">
        <v>0.1</v>
      </c>
      <c r="CN32" s="14">
        <v>0</v>
      </c>
      <c r="CO32" s="14">
        <v>0</v>
      </c>
      <c r="CP32" s="14">
        <v>0</v>
      </c>
      <c r="CQ32" s="14"/>
      <c r="CR32" s="14">
        <v>0</v>
      </c>
      <c r="CS32" s="14"/>
      <c r="CT32" s="14">
        <v>1500</v>
      </c>
      <c r="CU32" s="14">
        <f t="shared" si="43"/>
        <v>1500</v>
      </c>
      <c r="CV32" s="14">
        <f t="shared" si="44"/>
        <v>0</v>
      </c>
      <c r="CW32" s="14">
        <v>5126.16</v>
      </c>
      <c r="CX32" s="14">
        <f t="shared" si="31"/>
        <v>5126.16</v>
      </c>
      <c r="CY32" s="14">
        <f t="shared" si="32"/>
        <v>0</v>
      </c>
      <c r="CZ32" s="14">
        <v>1500</v>
      </c>
      <c r="DA32" s="14">
        <f t="shared" si="33"/>
        <v>1500</v>
      </c>
      <c r="DB32" s="14">
        <f t="shared" si="34"/>
        <v>0</v>
      </c>
      <c r="DC32" s="14">
        <v>8752.32</v>
      </c>
      <c r="DD32" s="14">
        <f t="shared" si="39"/>
        <v>8752.32</v>
      </c>
      <c r="DE32" s="14">
        <f t="shared" si="35"/>
        <v>0</v>
      </c>
      <c r="DF32" s="14">
        <v>96814.080000000002</v>
      </c>
      <c r="DG32" s="14">
        <f t="shared" si="36"/>
        <v>96814.080000000002</v>
      </c>
      <c r="DH32" s="14">
        <f t="shared" si="37"/>
        <v>0</v>
      </c>
      <c r="DI32" s="14">
        <v>4475.8500000000004</v>
      </c>
      <c r="DJ32" s="14">
        <f>IFERROR(VLOOKUP(D32,#REF!,2,0),0)</f>
        <v>0</v>
      </c>
      <c r="DK32" s="14">
        <f t="shared" si="38"/>
        <v>-4475.8500000000004</v>
      </c>
      <c r="DL32" s="14">
        <v>103440.24</v>
      </c>
      <c r="DM32" s="14">
        <v>1571895.44</v>
      </c>
      <c r="DN32" s="14">
        <v>8301.7999999999993</v>
      </c>
      <c r="DO32" s="14">
        <v>0</v>
      </c>
      <c r="DP32" s="14">
        <v>0</v>
      </c>
      <c r="DQ32" s="14">
        <v>102523.24</v>
      </c>
      <c r="DR32" s="14">
        <v>28</v>
      </c>
      <c r="DS32" s="14">
        <v>0</v>
      </c>
      <c r="DT32" s="5" t="s">
        <v>206</v>
      </c>
      <c r="DU32" s="5" t="s">
        <v>195</v>
      </c>
      <c r="DV32" s="5" t="s">
        <v>196</v>
      </c>
      <c r="DW32" s="5" t="s">
        <v>197</v>
      </c>
    </row>
    <row r="33" spans="1:127" ht="16.5">
      <c r="A33" s="5" t="s">
        <v>184</v>
      </c>
      <c r="B33" s="5" t="s">
        <v>147</v>
      </c>
      <c r="C33" s="5" t="s">
        <v>148</v>
      </c>
      <c r="D33" s="5" t="s">
        <v>392</v>
      </c>
      <c r="E33" s="5" t="e">
        <f>VLOOKUP(D33,#REF!,1,0)</f>
        <v>#REF!</v>
      </c>
      <c r="F33" s="5" t="s">
        <v>393</v>
      </c>
      <c r="G33" s="5" t="s">
        <v>394</v>
      </c>
      <c r="H33" s="5" t="str">
        <f t="shared" si="0"/>
        <v>Lok Hang Loo</v>
      </c>
      <c r="I33" s="5" t="e">
        <f>VLOOKUP(D33,#REF!,9,0)</f>
        <v>#REF!</v>
      </c>
      <c r="J33" s="5" t="e">
        <f t="shared" si="1"/>
        <v>#REF!</v>
      </c>
      <c r="K33" s="5" t="s">
        <v>371</v>
      </c>
      <c r="L33" s="5" t="s">
        <v>151</v>
      </c>
      <c r="M33" s="5" t="s">
        <v>395</v>
      </c>
      <c r="N33" s="10" t="e">
        <f>VLOOKUP(D33,#REF!,80,0)</f>
        <v>#REF!</v>
      </c>
      <c r="O33" s="11" t="e">
        <f t="shared" si="11"/>
        <v>#REF!</v>
      </c>
      <c r="P33" s="5" t="s">
        <v>253</v>
      </c>
      <c r="Q33" s="5" t="e">
        <f>VLOOKUP(D33,#REF!,50,0)</f>
        <v>#REF!</v>
      </c>
      <c r="R33" s="5" t="e">
        <f t="shared" si="12"/>
        <v>#REF!</v>
      </c>
      <c r="S33" s="5" t="s">
        <v>396</v>
      </c>
      <c r="T33" s="5" t="e">
        <f>VLOOKUP(D33,#REF!,21,0)</f>
        <v>#REF!</v>
      </c>
      <c r="U33" s="5" t="e">
        <f t="shared" si="13"/>
        <v>#REF!</v>
      </c>
      <c r="V33" s="5" t="s">
        <v>255</v>
      </c>
      <c r="W33" s="5" t="e">
        <f>VLOOKUP(D33,#REF!,51,0)</f>
        <v>#REF!</v>
      </c>
      <c r="X33" s="5" t="e">
        <f t="shared" si="14"/>
        <v>#REF!</v>
      </c>
      <c r="Y33" s="5" t="s">
        <v>192</v>
      </c>
      <c r="Z33" s="5" t="s">
        <v>193</v>
      </c>
      <c r="AA33" s="14">
        <v>8.98</v>
      </c>
      <c r="AB33" s="14">
        <v>57403</v>
      </c>
      <c r="AC33" s="14" t="e">
        <f>ROUND(VLOOKUP(D33,#REF!,59,0),0)</f>
        <v>#REF!</v>
      </c>
      <c r="AD33" s="14" t="e">
        <f t="shared" si="40"/>
        <v>#REF!</v>
      </c>
      <c r="AE33" s="14">
        <v>57403</v>
      </c>
      <c r="AF33" s="14">
        <f t="shared" si="41"/>
        <v>57403</v>
      </c>
      <c r="AG33" s="14">
        <f t="shared" si="42"/>
        <v>0</v>
      </c>
      <c r="AH33" s="14">
        <v>0</v>
      </c>
      <c r="AI33" s="14"/>
      <c r="AJ33" s="14"/>
      <c r="AK33" s="14">
        <v>0</v>
      </c>
      <c r="AL33" s="14"/>
      <c r="AM33" s="14"/>
      <c r="AN33" s="14">
        <v>0</v>
      </c>
      <c r="AO33" s="14">
        <v>0</v>
      </c>
      <c r="AP33" s="14">
        <f>IFERROR(VLOOKUP('Feb for check'!D33,#REF!,15,0),0)</f>
        <v>0</v>
      </c>
      <c r="AQ33" s="14">
        <f t="shared" si="18"/>
        <v>0</v>
      </c>
      <c r="AR33" s="14">
        <v>0</v>
      </c>
      <c r="AS33" s="14">
        <f t="shared" si="19"/>
        <v>0</v>
      </c>
      <c r="AT33" s="14">
        <f t="shared" si="20"/>
        <v>0</v>
      </c>
      <c r="AU33" s="14">
        <v>0</v>
      </c>
      <c r="AV33" s="14"/>
      <c r="AW33" s="14">
        <v>0</v>
      </c>
      <c r="AX33" s="14"/>
      <c r="AY33" s="14">
        <v>0</v>
      </c>
      <c r="AZ33" s="14"/>
      <c r="BA33" s="14">
        <v>0</v>
      </c>
      <c r="BB33" s="14">
        <f>IFERROR(VLOOKUP(D33,#REF!,2,0),0)</f>
        <v>0</v>
      </c>
      <c r="BC33" s="14" t="e">
        <f>MAX(VLOOKUP(D33,#REF!,13,0)-VLOOKUP(D33,#REF!,14,0),0)</f>
        <v>#REF!</v>
      </c>
      <c r="BD33" s="14">
        <f>IFERROR(VLOOKUP(D33,#REF!,3,0),0)</f>
        <v>0</v>
      </c>
      <c r="BE33" s="14" t="e">
        <f>MAX(VLOOKUP(D33,#REF!,22,0)-VLOOKUP(D33,#REF!,23,0),0)</f>
        <v>#REF!</v>
      </c>
      <c r="BF33" s="14" t="e">
        <f t="shared" si="21"/>
        <v>#REF!</v>
      </c>
      <c r="BG33" s="14" t="e">
        <f t="shared" si="22"/>
        <v>#REF!</v>
      </c>
      <c r="BH33" s="14">
        <v>0</v>
      </c>
      <c r="BI33" s="14"/>
      <c r="BJ33" s="14"/>
      <c r="BK33" s="14">
        <v>55</v>
      </c>
      <c r="BL33" s="14">
        <f t="shared" si="23"/>
        <v>55</v>
      </c>
      <c r="BM33" s="14">
        <f t="shared" si="24"/>
        <v>0</v>
      </c>
      <c r="BN33" s="14">
        <v>0</v>
      </c>
      <c r="BO33" s="14"/>
      <c r="BP33" s="14"/>
      <c r="BQ33" s="14"/>
      <c r="BR33" s="14">
        <v>0</v>
      </c>
      <c r="BS33" s="14"/>
      <c r="BT33" s="14">
        <v>0</v>
      </c>
      <c r="BU33" s="14"/>
      <c r="BV33" s="14">
        <v>0</v>
      </c>
      <c r="BW33" s="14"/>
      <c r="BX33" s="14">
        <v>57458</v>
      </c>
      <c r="BY33" s="14">
        <f t="shared" si="25"/>
        <v>57458</v>
      </c>
      <c r="BZ33" s="14">
        <f t="shared" si="26"/>
        <v>0</v>
      </c>
      <c r="CA33" s="14">
        <v>57403</v>
      </c>
      <c r="CB33" s="14">
        <f t="shared" si="27"/>
        <v>57403</v>
      </c>
      <c r="CC33" s="14">
        <f t="shared" si="28"/>
        <v>0</v>
      </c>
      <c r="CD33" s="14">
        <v>0</v>
      </c>
      <c r="CE33" s="14"/>
      <c r="CF33" s="14"/>
      <c r="CG33" s="14">
        <v>0</v>
      </c>
      <c r="CH33" s="14"/>
      <c r="CI33" s="14">
        <v>1887.2219</v>
      </c>
      <c r="CJ33" s="14">
        <v>0</v>
      </c>
      <c r="CK33" s="14"/>
      <c r="CL33" s="14">
        <v>0</v>
      </c>
      <c r="CM33" s="14">
        <v>7.4999999999999997E-2</v>
      </c>
      <c r="CN33" s="14">
        <v>0</v>
      </c>
      <c r="CO33" s="14">
        <v>0</v>
      </c>
      <c r="CP33" s="14">
        <v>0</v>
      </c>
      <c r="CQ33" s="14"/>
      <c r="CR33" s="14">
        <v>0</v>
      </c>
      <c r="CS33" s="14"/>
      <c r="CT33" s="14">
        <v>1500</v>
      </c>
      <c r="CU33" s="14">
        <f t="shared" si="43"/>
        <v>1500</v>
      </c>
      <c r="CV33" s="14">
        <f t="shared" si="44"/>
        <v>0</v>
      </c>
      <c r="CW33" s="14">
        <v>0</v>
      </c>
      <c r="CX33" s="14">
        <f t="shared" si="31"/>
        <v>0</v>
      </c>
      <c r="CY33" s="14">
        <f t="shared" si="32"/>
        <v>0</v>
      </c>
      <c r="CZ33" s="14">
        <v>1500</v>
      </c>
      <c r="DA33" s="14">
        <f t="shared" si="33"/>
        <v>1500</v>
      </c>
      <c r="DB33" s="14">
        <f t="shared" si="34"/>
        <v>0</v>
      </c>
      <c r="DC33" s="14">
        <v>2805.23</v>
      </c>
      <c r="DD33" s="14">
        <f t="shared" si="39"/>
        <v>2805.23</v>
      </c>
      <c r="DE33" s="14">
        <f t="shared" si="35"/>
        <v>0</v>
      </c>
      <c r="DF33" s="14">
        <v>55958</v>
      </c>
      <c r="DG33" s="14">
        <f t="shared" si="36"/>
        <v>55958</v>
      </c>
      <c r="DH33" s="14">
        <f t="shared" si="37"/>
        <v>0</v>
      </c>
      <c r="DI33" s="14">
        <v>268.10000000000002</v>
      </c>
      <c r="DJ33" s="14">
        <f>IFERROR(VLOOKUP(D33,#REF!,2,0),0)</f>
        <v>0</v>
      </c>
      <c r="DK33" s="14">
        <f t="shared" si="38"/>
        <v>-268.10000000000002</v>
      </c>
      <c r="DL33" s="14">
        <v>57458</v>
      </c>
      <c r="DM33" s="14">
        <v>957613.17</v>
      </c>
      <c r="DN33" s="14">
        <v>4783.58</v>
      </c>
      <c r="DO33" s="14">
        <v>0</v>
      </c>
      <c r="DP33" s="14">
        <v>0</v>
      </c>
      <c r="DQ33" s="14">
        <v>57403</v>
      </c>
      <c r="DR33" s="14">
        <v>28</v>
      </c>
      <c r="DS33" s="14">
        <v>0</v>
      </c>
      <c r="DT33" s="5" t="s">
        <v>206</v>
      </c>
      <c r="DU33" s="5" t="s">
        <v>195</v>
      </c>
      <c r="DV33" s="5" t="s">
        <v>196</v>
      </c>
      <c r="DW33" s="5" t="s">
        <v>197</v>
      </c>
    </row>
    <row r="34" spans="1:127" ht="16.5">
      <c r="A34" s="5" t="s">
        <v>184</v>
      </c>
      <c r="B34" s="5" t="s">
        <v>147</v>
      </c>
      <c r="C34" s="5" t="s">
        <v>148</v>
      </c>
      <c r="D34" s="5" t="s">
        <v>397</v>
      </c>
      <c r="E34" s="5" t="e">
        <f>VLOOKUP(D34,#REF!,1,0)</f>
        <v>#REF!</v>
      </c>
      <c r="F34" s="5" t="s">
        <v>398</v>
      </c>
      <c r="G34" s="5" t="s">
        <v>399</v>
      </c>
      <c r="H34" s="5" t="str">
        <f t="shared" si="0"/>
        <v>Kit Sum Lai</v>
      </c>
      <c r="I34" s="5" t="e">
        <f>VLOOKUP(D34,#REF!,9,0)</f>
        <v>#REF!</v>
      </c>
      <c r="J34" s="5" t="e">
        <f t="shared" si="1"/>
        <v>#REF!</v>
      </c>
      <c r="K34" s="5" t="s">
        <v>400</v>
      </c>
      <c r="L34" s="5" t="s">
        <v>151</v>
      </c>
      <c r="M34" s="5" t="s">
        <v>401</v>
      </c>
      <c r="N34" s="10" t="e">
        <f>VLOOKUP(D34,#REF!,80,0)</f>
        <v>#REF!</v>
      </c>
      <c r="O34" s="11" t="e">
        <f t="shared" si="11"/>
        <v>#REF!</v>
      </c>
      <c r="P34" s="5" t="s">
        <v>402</v>
      </c>
      <c r="Q34" s="5" t="e">
        <f>VLOOKUP(D34,#REF!,50,0)</f>
        <v>#REF!</v>
      </c>
      <c r="R34" s="5" t="e">
        <f t="shared" si="12"/>
        <v>#REF!</v>
      </c>
      <c r="S34" s="5" t="s">
        <v>403</v>
      </c>
      <c r="T34" s="5" t="e">
        <f>VLOOKUP(D34,#REF!,21,0)</f>
        <v>#REF!</v>
      </c>
      <c r="U34" s="5" t="e">
        <f t="shared" si="13"/>
        <v>#REF!</v>
      </c>
      <c r="V34" s="5" t="s">
        <v>404</v>
      </c>
      <c r="W34" s="5" t="e">
        <f>VLOOKUP(D34,#REF!,51,0)</f>
        <v>#REF!</v>
      </c>
      <c r="X34" s="5" t="e">
        <f t="shared" si="14"/>
        <v>#REF!</v>
      </c>
      <c r="Y34" s="5" t="s">
        <v>192</v>
      </c>
      <c r="Z34" s="5" t="s">
        <v>193</v>
      </c>
      <c r="AA34" s="14">
        <v>1.43</v>
      </c>
      <c r="AB34" s="14">
        <v>27693</v>
      </c>
      <c r="AC34" s="14" t="e">
        <f>ROUND(VLOOKUP(D34,#REF!,59,0),0)</f>
        <v>#REF!</v>
      </c>
      <c r="AD34" s="14" t="e">
        <f t="shared" si="40"/>
        <v>#REF!</v>
      </c>
      <c r="AE34" s="14">
        <v>27693</v>
      </c>
      <c r="AF34" s="14">
        <f t="shared" si="41"/>
        <v>27693</v>
      </c>
      <c r="AG34" s="14">
        <f t="shared" si="42"/>
        <v>0</v>
      </c>
      <c r="AH34" s="14">
        <v>0</v>
      </c>
      <c r="AI34" s="14"/>
      <c r="AJ34" s="14"/>
      <c r="AK34" s="14">
        <v>0</v>
      </c>
      <c r="AL34" s="14"/>
      <c r="AM34" s="14"/>
      <c r="AN34" s="14">
        <v>0</v>
      </c>
      <c r="AO34" s="14">
        <v>0</v>
      </c>
      <c r="AP34" s="14">
        <f>IFERROR(VLOOKUP('Feb for check'!D34,#REF!,15,0),0)</f>
        <v>0</v>
      </c>
      <c r="AQ34" s="14">
        <f t="shared" si="18"/>
        <v>0</v>
      </c>
      <c r="AR34" s="14">
        <v>0</v>
      </c>
      <c r="AS34" s="14">
        <f t="shared" si="19"/>
        <v>0</v>
      </c>
      <c r="AT34" s="14">
        <f t="shared" si="20"/>
        <v>0</v>
      </c>
      <c r="AU34" s="14">
        <v>0</v>
      </c>
      <c r="AV34" s="14"/>
      <c r="AW34" s="14">
        <v>0</v>
      </c>
      <c r="AX34" s="14"/>
      <c r="AY34" s="14">
        <v>0</v>
      </c>
      <c r="AZ34" s="14"/>
      <c r="BA34" s="14">
        <v>35.99</v>
      </c>
      <c r="BB34" s="14">
        <f>IFERROR(VLOOKUP(D34,#REF!,2,0),0)</f>
        <v>0</v>
      </c>
      <c r="BC34" s="14" t="e">
        <f>MAX(VLOOKUP(D34,#REF!,13,0)-VLOOKUP(D34,#REF!,14,0),0)</f>
        <v>#REF!</v>
      </c>
      <c r="BD34" s="14">
        <f>IFERROR(VLOOKUP(D34,#REF!,3,0),0)</f>
        <v>0</v>
      </c>
      <c r="BE34" s="14" t="e">
        <f>MAX(VLOOKUP(D34,#REF!,22,0)-VLOOKUP(D34,#REF!,23,0),0)</f>
        <v>#REF!</v>
      </c>
      <c r="BF34" s="14" t="e">
        <f t="shared" si="21"/>
        <v>#REF!</v>
      </c>
      <c r="BG34" s="14" t="e">
        <f t="shared" si="22"/>
        <v>#REF!</v>
      </c>
      <c r="BH34" s="14">
        <v>0</v>
      </c>
      <c r="BI34" s="14"/>
      <c r="BJ34" s="14"/>
      <c r="BK34" s="14">
        <v>0</v>
      </c>
      <c r="BL34" s="14">
        <f t="shared" si="23"/>
        <v>0</v>
      </c>
      <c r="BM34" s="14">
        <f t="shared" si="24"/>
        <v>0</v>
      </c>
      <c r="BN34" s="14">
        <v>0</v>
      </c>
      <c r="BO34" s="14"/>
      <c r="BP34" s="14"/>
      <c r="BQ34" s="14"/>
      <c r="BR34" s="14">
        <v>0</v>
      </c>
      <c r="BS34" s="14"/>
      <c r="BT34" s="14">
        <v>0</v>
      </c>
      <c r="BU34" s="14"/>
      <c r="BV34" s="14">
        <v>0</v>
      </c>
      <c r="BW34" s="14"/>
      <c r="BX34" s="14">
        <v>27728.99</v>
      </c>
      <c r="BY34" s="14">
        <f t="shared" si="25"/>
        <v>27728.99</v>
      </c>
      <c r="BZ34" s="14">
        <f t="shared" si="26"/>
        <v>0</v>
      </c>
      <c r="CA34" s="14">
        <v>27728.99</v>
      </c>
      <c r="CB34" s="14">
        <f t="shared" si="27"/>
        <v>27728.99</v>
      </c>
      <c r="CC34" s="14">
        <f t="shared" si="28"/>
        <v>0</v>
      </c>
      <c r="CD34" s="14">
        <v>0</v>
      </c>
      <c r="CE34" s="14"/>
      <c r="CF34" s="14"/>
      <c r="CG34" s="14">
        <v>0</v>
      </c>
      <c r="CH34" s="14"/>
      <c r="CI34" s="14">
        <v>910.4547</v>
      </c>
      <c r="CJ34" s="14">
        <v>0</v>
      </c>
      <c r="CK34" s="14"/>
      <c r="CL34" s="14">
        <v>0</v>
      </c>
      <c r="CM34" s="14">
        <v>7.4999999999999997E-2</v>
      </c>
      <c r="CN34" s="14">
        <v>0</v>
      </c>
      <c r="CO34" s="14">
        <v>0</v>
      </c>
      <c r="CP34" s="14">
        <v>0</v>
      </c>
      <c r="CQ34" s="14"/>
      <c r="CR34" s="14">
        <v>0</v>
      </c>
      <c r="CS34" s="14"/>
      <c r="CT34" s="14">
        <v>1386.45</v>
      </c>
      <c r="CU34" s="14">
        <f t="shared" si="43"/>
        <v>1386.4495000000002</v>
      </c>
      <c r="CV34" s="14">
        <f t="shared" si="44"/>
        <v>-4.9999999987448973E-4</v>
      </c>
      <c r="CW34" s="14">
        <v>0</v>
      </c>
      <c r="CX34" s="14">
        <f t="shared" si="31"/>
        <v>0</v>
      </c>
      <c r="CY34" s="14">
        <f t="shared" si="32"/>
        <v>0</v>
      </c>
      <c r="CZ34" s="14">
        <v>1386.45</v>
      </c>
      <c r="DA34" s="14">
        <f t="shared" si="33"/>
        <v>1386.4495000000002</v>
      </c>
      <c r="DB34" s="14">
        <f t="shared" si="34"/>
        <v>-4.9999999987448973E-4</v>
      </c>
      <c r="DC34" s="14">
        <v>693.22</v>
      </c>
      <c r="DD34" s="14">
        <f t="shared" si="39"/>
        <v>693.22</v>
      </c>
      <c r="DE34" s="14">
        <f t="shared" si="35"/>
        <v>0</v>
      </c>
      <c r="DF34" s="14">
        <v>26342.54</v>
      </c>
      <c r="DG34" s="14">
        <f t="shared" si="36"/>
        <v>26342.54</v>
      </c>
      <c r="DH34" s="14">
        <f t="shared" si="37"/>
        <v>0</v>
      </c>
      <c r="DI34" s="14">
        <v>0</v>
      </c>
      <c r="DJ34" s="14">
        <f>IFERROR(VLOOKUP(D34,#REF!,2,0),0)</f>
        <v>0</v>
      </c>
      <c r="DK34" s="14">
        <f t="shared" si="38"/>
        <v>0</v>
      </c>
      <c r="DL34" s="14">
        <v>27728.99</v>
      </c>
      <c r="DM34" s="14">
        <v>370750.2</v>
      </c>
      <c r="DN34" s="14">
        <v>2307.75</v>
      </c>
      <c r="DO34" s="14">
        <v>35.99</v>
      </c>
      <c r="DP34" s="14">
        <v>0</v>
      </c>
      <c r="DQ34" s="14">
        <v>27728.99</v>
      </c>
      <c r="DR34" s="14">
        <v>28</v>
      </c>
      <c r="DS34" s="14">
        <v>0</v>
      </c>
      <c r="DT34" s="5" t="s">
        <v>206</v>
      </c>
      <c r="DU34" s="5" t="s">
        <v>195</v>
      </c>
      <c r="DV34" s="5" t="s">
        <v>196</v>
      </c>
      <c r="DW34" s="5" t="s">
        <v>197</v>
      </c>
    </row>
    <row r="35" spans="1:127" ht="16.5">
      <c r="A35" s="5" t="s">
        <v>184</v>
      </c>
      <c r="B35" s="5" t="s">
        <v>147</v>
      </c>
      <c r="C35" s="5" t="s">
        <v>148</v>
      </c>
      <c r="D35" s="5" t="s">
        <v>405</v>
      </c>
      <c r="E35" s="5" t="e">
        <f>VLOOKUP(D35,#REF!,1,0)</f>
        <v>#REF!</v>
      </c>
      <c r="F35" s="5" t="s">
        <v>264</v>
      </c>
      <c r="G35" s="5" t="s">
        <v>406</v>
      </c>
      <c r="H35" s="5" t="str">
        <f t="shared" si="0"/>
        <v>Lok Yee Wong</v>
      </c>
      <c r="I35" s="5" t="e">
        <f>VLOOKUP(D35,#REF!,9,0)</f>
        <v>#REF!</v>
      </c>
      <c r="J35" s="5" t="e">
        <f t="shared" si="1"/>
        <v>#REF!</v>
      </c>
      <c r="K35" s="5" t="s">
        <v>407</v>
      </c>
      <c r="L35" s="5" t="s">
        <v>151</v>
      </c>
      <c r="M35" s="5" t="s">
        <v>408</v>
      </c>
      <c r="N35" s="10" t="e">
        <f>VLOOKUP(D35,#REF!,80,0)</f>
        <v>#REF!</v>
      </c>
      <c r="O35" s="11" t="s">
        <v>305</v>
      </c>
      <c r="P35" s="5" t="s">
        <v>409</v>
      </c>
      <c r="Q35" s="5" t="e">
        <f>VLOOKUP(D35,#REF!,50,0)</f>
        <v>#REF!</v>
      </c>
      <c r="R35" s="5" t="e">
        <f t="shared" si="12"/>
        <v>#REF!</v>
      </c>
      <c r="S35" s="5" t="s">
        <v>410</v>
      </c>
      <c r="T35" s="5" t="e">
        <f>VLOOKUP(D35,#REF!,21,0)</f>
        <v>#REF!</v>
      </c>
      <c r="U35" s="5" t="e">
        <f t="shared" si="13"/>
        <v>#REF!</v>
      </c>
      <c r="V35" s="5" t="s">
        <v>411</v>
      </c>
      <c r="W35" s="5" t="e">
        <f>VLOOKUP(D35,#REF!,51,0)</f>
        <v>#REF!</v>
      </c>
      <c r="X35" s="5" t="e">
        <f t="shared" si="14"/>
        <v>#REF!</v>
      </c>
      <c r="Y35" s="5" t="s">
        <v>192</v>
      </c>
      <c r="Z35" s="5" t="s">
        <v>193</v>
      </c>
      <c r="AA35" s="14">
        <v>8.66</v>
      </c>
      <c r="AB35" s="14">
        <v>40534</v>
      </c>
      <c r="AC35" s="14" t="e">
        <f>ROUND(VLOOKUP(D35,#REF!,59,0),0)</f>
        <v>#REF!</v>
      </c>
      <c r="AD35" s="14" t="e">
        <f t="shared" si="40"/>
        <v>#REF!</v>
      </c>
      <c r="AE35" s="14">
        <v>40534</v>
      </c>
      <c r="AF35" s="14">
        <f t="shared" si="41"/>
        <v>40534</v>
      </c>
      <c r="AG35" s="14">
        <f t="shared" si="42"/>
        <v>0</v>
      </c>
      <c r="AH35" s="14">
        <v>0</v>
      </c>
      <c r="AI35" s="14"/>
      <c r="AJ35" s="14"/>
      <c r="AK35" s="14">
        <v>0</v>
      </c>
      <c r="AL35" s="14"/>
      <c r="AM35" s="14"/>
      <c r="AN35" s="14">
        <v>0</v>
      </c>
      <c r="AO35" s="14">
        <v>0</v>
      </c>
      <c r="AP35" s="14">
        <f>IFERROR(VLOOKUP('Feb for check'!D35,#REF!,15,0),0)</f>
        <v>0</v>
      </c>
      <c r="AQ35" s="14">
        <f t="shared" si="18"/>
        <v>0</v>
      </c>
      <c r="AR35" s="14">
        <v>0</v>
      </c>
      <c r="AS35" s="14">
        <f t="shared" si="19"/>
        <v>0</v>
      </c>
      <c r="AT35" s="14">
        <f t="shared" si="20"/>
        <v>0</v>
      </c>
      <c r="AU35" s="14">
        <v>0</v>
      </c>
      <c r="AV35" s="14"/>
      <c r="AW35" s="14">
        <v>0</v>
      </c>
      <c r="AX35" s="14"/>
      <c r="AY35" s="14">
        <v>0</v>
      </c>
      <c r="AZ35" s="14"/>
      <c r="BA35" s="14">
        <v>1008.33</v>
      </c>
      <c r="BB35" s="14">
        <f>IFERROR(VLOOKUP(D35,#REF!,2,0),0)</f>
        <v>0</v>
      </c>
      <c r="BC35" s="14" t="e">
        <f>MAX(VLOOKUP(D35,#REF!,13,0)-VLOOKUP(D35,#REF!,14,0),0)</f>
        <v>#REF!</v>
      </c>
      <c r="BD35" s="14">
        <f>IFERROR(VLOOKUP(D35,#REF!,3,0),0)</f>
        <v>0</v>
      </c>
      <c r="BE35" s="14" t="e">
        <f>MAX(VLOOKUP(D35,#REF!,22,0)-VLOOKUP(D35,#REF!,23,0),0)</f>
        <v>#REF!</v>
      </c>
      <c r="BF35" s="14" t="e">
        <f t="shared" si="21"/>
        <v>#REF!</v>
      </c>
      <c r="BG35" s="14" t="e">
        <f t="shared" si="22"/>
        <v>#REF!</v>
      </c>
      <c r="BH35" s="14">
        <v>0</v>
      </c>
      <c r="BI35" s="14"/>
      <c r="BJ35" s="14"/>
      <c r="BK35" s="14">
        <v>1596</v>
      </c>
      <c r="BL35" s="14">
        <f t="shared" si="23"/>
        <v>1596</v>
      </c>
      <c r="BM35" s="14">
        <f t="shared" si="24"/>
        <v>0</v>
      </c>
      <c r="BN35" s="14">
        <v>0</v>
      </c>
      <c r="BO35" s="14"/>
      <c r="BP35" s="14"/>
      <c r="BQ35" s="14"/>
      <c r="BR35" s="14">
        <v>0</v>
      </c>
      <c r="BS35" s="14"/>
      <c r="BT35" s="14">
        <v>0</v>
      </c>
      <c r="BU35" s="14"/>
      <c r="BV35" s="14">
        <v>0</v>
      </c>
      <c r="BW35" s="14"/>
      <c r="BX35" s="14">
        <v>43138.33</v>
      </c>
      <c r="BY35" s="14">
        <f t="shared" si="25"/>
        <v>43138.33</v>
      </c>
      <c r="BZ35" s="14">
        <f t="shared" si="26"/>
        <v>0</v>
      </c>
      <c r="CA35" s="14">
        <v>41542.33</v>
      </c>
      <c r="CB35" s="14">
        <f t="shared" si="27"/>
        <v>41542.33</v>
      </c>
      <c r="CC35" s="14">
        <f t="shared" si="28"/>
        <v>0</v>
      </c>
      <c r="CD35" s="14">
        <v>0</v>
      </c>
      <c r="CE35" s="14"/>
      <c r="CF35" s="14"/>
      <c r="CG35" s="14">
        <v>0</v>
      </c>
      <c r="CH35" s="14"/>
      <c r="CI35" s="14">
        <v>1332.6246000000001</v>
      </c>
      <c r="CJ35" s="14">
        <v>0</v>
      </c>
      <c r="CK35" s="14"/>
      <c r="CL35" s="14">
        <v>0</v>
      </c>
      <c r="CM35" s="14">
        <v>7.4999999999999997E-2</v>
      </c>
      <c r="CN35" s="14">
        <v>0</v>
      </c>
      <c r="CO35" s="14">
        <v>0</v>
      </c>
      <c r="CP35" s="14">
        <v>0</v>
      </c>
      <c r="CQ35" s="14"/>
      <c r="CR35" s="14">
        <v>0</v>
      </c>
      <c r="CS35" s="14"/>
      <c r="CT35" s="14">
        <v>1500</v>
      </c>
      <c r="CU35" s="14">
        <f t="shared" si="43"/>
        <v>1500</v>
      </c>
      <c r="CV35" s="14">
        <f t="shared" si="44"/>
        <v>0</v>
      </c>
      <c r="CW35" s="14">
        <v>0</v>
      </c>
      <c r="CX35" s="14">
        <f t="shared" si="31"/>
        <v>0</v>
      </c>
      <c r="CY35" s="14">
        <f t="shared" si="32"/>
        <v>0</v>
      </c>
      <c r="CZ35" s="14">
        <v>1500</v>
      </c>
      <c r="DA35" s="14">
        <f t="shared" si="33"/>
        <v>1500</v>
      </c>
      <c r="DB35" s="14">
        <f t="shared" si="34"/>
        <v>0</v>
      </c>
      <c r="DC35" s="14">
        <v>1615.67</v>
      </c>
      <c r="DD35" s="14">
        <f t="shared" si="39"/>
        <v>1615.67</v>
      </c>
      <c r="DE35" s="14">
        <f t="shared" si="35"/>
        <v>0</v>
      </c>
      <c r="DF35" s="14">
        <v>41638.33</v>
      </c>
      <c r="DG35" s="14">
        <f t="shared" si="36"/>
        <v>41638.33</v>
      </c>
      <c r="DH35" s="14">
        <f t="shared" si="37"/>
        <v>0</v>
      </c>
      <c r="DI35" s="14">
        <v>7789.91</v>
      </c>
      <c r="DJ35" s="14">
        <f>IFERROR(VLOOKUP(D35,#REF!,2,0),0)</f>
        <v>0</v>
      </c>
      <c r="DK35" s="14">
        <f t="shared" si="38"/>
        <v>-7789.91</v>
      </c>
      <c r="DL35" s="14">
        <v>43138.33</v>
      </c>
      <c r="DM35" s="14">
        <v>656434.30000000005</v>
      </c>
      <c r="DN35" s="14">
        <v>3377.83</v>
      </c>
      <c r="DO35" s="14">
        <v>1008.33</v>
      </c>
      <c r="DP35" s="14">
        <v>0</v>
      </c>
      <c r="DQ35" s="14">
        <v>41542.33</v>
      </c>
      <c r="DR35" s="14">
        <v>28</v>
      </c>
      <c r="DS35" s="14">
        <v>0</v>
      </c>
      <c r="DT35" s="5" t="s">
        <v>206</v>
      </c>
      <c r="DU35" s="5" t="s">
        <v>195</v>
      </c>
      <c r="DV35" s="5" t="s">
        <v>196</v>
      </c>
      <c r="DW35" s="5" t="s">
        <v>197</v>
      </c>
    </row>
    <row r="36" spans="1:127" ht="16.5">
      <c r="A36" s="5" t="s">
        <v>184</v>
      </c>
      <c r="B36" s="5" t="s">
        <v>147</v>
      </c>
      <c r="C36" s="5" t="s">
        <v>148</v>
      </c>
      <c r="D36" s="5" t="s">
        <v>412</v>
      </c>
      <c r="E36" s="5" t="e">
        <f>VLOOKUP(D36,#REF!,1,0)</f>
        <v>#REF!</v>
      </c>
      <c r="F36" s="5" t="s">
        <v>413</v>
      </c>
      <c r="G36" s="5" t="s">
        <v>414</v>
      </c>
      <c r="H36" s="5" t="str">
        <f t="shared" si="0"/>
        <v>Lan Huang</v>
      </c>
      <c r="I36" s="5" t="e">
        <f>VLOOKUP(D36,#REF!,9,0)</f>
        <v>#REF!</v>
      </c>
      <c r="J36" s="5" t="e">
        <f t="shared" si="1"/>
        <v>#REF!</v>
      </c>
      <c r="K36" s="5" t="s">
        <v>414</v>
      </c>
      <c r="L36" s="5" t="s">
        <v>151</v>
      </c>
      <c r="M36" s="5" t="s">
        <v>415</v>
      </c>
      <c r="N36" s="10" t="e">
        <f>VLOOKUP(D36,#REF!,80,0)</f>
        <v>#REF!</v>
      </c>
      <c r="O36" s="11" t="s">
        <v>305</v>
      </c>
      <c r="P36" s="5" t="s">
        <v>416</v>
      </c>
      <c r="Q36" s="5" t="e">
        <f>VLOOKUP(D36,#REF!,50,0)</f>
        <v>#REF!</v>
      </c>
      <c r="R36" s="5" t="e">
        <f t="shared" si="12"/>
        <v>#REF!</v>
      </c>
      <c r="S36" s="5" t="s">
        <v>417</v>
      </c>
      <c r="T36" s="5" t="e">
        <f>VLOOKUP(D36,#REF!,21,0)</f>
        <v>#REF!</v>
      </c>
      <c r="U36" s="5" t="e">
        <f t="shared" si="13"/>
        <v>#REF!</v>
      </c>
      <c r="V36" s="5" t="s">
        <v>418</v>
      </c>
      <c r="W36" s="5" t="e">
        <f>VLOOKUP(D36,#REF!,51,0)</f>
        <v>#REF!</v>
      </c>
      <c r="X36" s="5" t="e">
        <f t="shared" si="14"/>
        <v>#REF!</v>
      </c>
      <c r="Y36" s="5" t="s">
        <v>192</v>
      </c>
      <c r="Z36" s="5" t="s">
        <v>193</v>
      </c>
      <c r="AA36" s="14">
        <v>10.91</v>
      </c>
      <c r="AB36" s="14">
        <v>96106</v>
      </c>
      <c r="AC36" s="14" t="e">
        <f>ROUND(VLOOKUP(D36,#REF!,59,0),0)</f>
        <v>#REF!</v>
      </c>
      <c r="AD36" s="14" t="e">
        <f t="shared" si="40"/>
        <v>#REF!</v>
      </c>
      <c r="AE36" s="14">
        <v>96106</v>
      </c>
      <c r="AF36" s="14">
        <f t="shared" si="41"/>
        <v>96106</v>
      </c>
      <c r="AG36" s="14">
        <f t="shared" si="42"/>
        <v>0</v>
      </c>
      <c r="AH36" s="14">
        <v>0</v>
      </c>
      <c r="AI36" s="14"/>
      <c r="AJ36" s="14"/>
      <c r="AK36" s="14">
        <v>0</v>
      </c>
      <c r="AL36" s="14"/>
      <c r="AM36" s="14"/>
      <c r="AN36" s="14">
        <v>0</v>
      </c>
      <c r="AO36" s="14">
        <v>0</v>
      </c>
      <c r="AP36" s="14">
        <f>IFERROR(VLOOKUP('Feb for check'!D36,#REF!,15,0),0)</f>
        <v>0</v>
      </c>
      <c r="AQ36" s="14">
        <f t="shared" si="18"/>
        <v>0</v>
      </c>
      <c r="AR36" s="14">
        <v>0</v>
      </c>
      <c r="AS36" s="14">
        <f t="shared" si="19"/>
        <v>0</v>
      </c>
      <c r="AT36" s="14">
        <f t="shared" si="20"/>
        <v>0</v>
      </c>
      <c r="AU36" s="14">
        <v>0</v>
      </c>
      <c r="AV36" s="14"/>
      <c r="AW36" s="14">
        <v>0</v>
      </c>
      <c r="AX36" s="14"/>
      <c r="AY36" s="14">
        <v>0</v>
      </c>
      <c r="AZ36" s="14"/>
      <c r="BA36" s="14">
        <v>4181.3100000000004</v>
      </c>
      <c r="BB36" s="14">
        <f>IFERROR(VLOOKUP(D36,#REF!,2,0),0)</f>
        <v>0</v>
      </c>
      <c r="BC36" s="14" t="e">
        <f>MAX(VLOOKUP(D36,#REF!,13,0)-VLOOKUP(D36,#REF!,14,0),0)</f>
        <v>#REF!</v>
      </c>
      <c r="BD36" s="14">
        <f>IFERROR(VLOOKUP(D36,#REF!,3,0),0)</f>
        <v>0</v>
      </c>
      <c r="BE36" s="14" t="e">
        <f>MAX(VLOOKUP(D36,#REF!,22,0)-VLOOKUP(D36,#REF!,23,0),0)</f>
        <v>#REF!</v>
      </c>
      <c r="BF36" s="14" t="e">
        <f t="shared" si="21"/>
        <v>#REF!</v>
      </c>
      <c r="BG36" s="14" t="e">
        <f t="shared" si="22"/>
        <v>#REF!</v>
      </c>
      <c r="BH36" s="14">
        <v>0</v>
      </c>
      <c r="BI36" s="14"/>
      <c r="BJ36" s="14"/>
      <c r="BK36" s="14">
        <v>459</v>
      </c>
      <c r="BL36" s="14">
        <f t="shared" si="23"/>
        <v>459</v>
      </c>
      <c r="BM36" s="14">
        <f t="shared" si="24"/>
        <v>0</v>
      </c>
      <c r="BN36" s="14">
        <v>0</v>
      </c>
      <c r="BO36" s="14"/>
      <c r="BP36" s="14"/>
      <c r="BQ36" s="14"/>
      <c r="BR36" s="14">
        <v>0</v>
      </c>
      <c r="BS36" s="14"/>
      <c r="BT36" s="14">
        <v>0</v>
      </c>
      <c r="BU36" s="14"/>
      <c r="BV36" s="14">
        <v>0</v>
      </c>
      <c r="BW36" s="14"/>
      <c r="BX36" s="14">
        <v>100746.31</v>
      </c>
      <c r="BY36" s="14">
        <f t="shared" si="25"/>
        <v>100746.31</v>
      </c>
      <c r="BZ36" s="14">
        <f t="shared" si="26"/>
        <v>0</v>
      </c>
      <c r="CA36" s="14">
        <v>100287.31</v>
      </c>
      <c r="CB36" s="14">
        <f t="shared" si="27"/>
        <v>100287.31</v>
      </c>
      <c r="CC36" s="14">
        <f t="shared" si="28"/>
        <v>0</v>
      </c>
      <c r="CD36" s="14">
        <v>0</v>
      </c>
      <c r="CE36" s="14"/>
      <c r="CF36" s="14"/>
      <c r="CG36" s="14">
        <v>0</v>
      </c>
      <c r="CH36" s="14"/>
      <c r="CI36" s="14">
        <v>3159.6493</v>
      </c>
      <c r="CJ36" s="14">
        <v>0.05</v>
      </c>
      <c r="CK36" s="14"/>
      <c r="CL36" s="14">
        <v>0</v>
      </c>
      <c r="CM36" s="14">
        <v>0.1</v>
      </c>
      <c r="CN36" s="14">
        <v>0</v>
      </c>
      <c r="CO36" s="14">
        <v>0</v>
      </c>
      <c r="CP36" s="14">
        <v>0</v>
      </c>
      <c r="CQ36" s="14"/>
      <c r="CR36" s="14">
        <v>0</v>
      </c>
      <c r="CS36" s="14"/>
      <c r="CT36" s="14">
        <v>1500</v>
      </c>
      <c r="CU36" s="14">
        <f t="shared" si="43"/>
        <v>1500</v>
      </c>
      <c r="CV36" s="14">
        <f t="shared" si="44"/>
        <v>0</v>
      </c>
      <c r="CW36" s="14">
        <v>5014.37</v>
      </c>
      <c r="CX36" s="14">
        <f t="shared" si="31"/>
        <v>5014.37</v>
      </c>
      <c r="CY36" s="14">
        <f t="shared" si="32"/>
        <v>0</v>
      </c>
      <c r="CZ36" s="14">
        <v>1500</v>
      </c>
      <c r="DA36" s="14">
        <f t="shared" si="33"/>
        <v>1500</v>
      </c>
      <c r="DB36" s="14">
        <f t="shared" si="34"/>
        <v>0</v>
      </c>
      <c r="DC36" s="14">
        <v>8528.73</v>
      </c>
      <c r="DD36" s="14">
        <f t="shared" si="39"/>
        <v>8528.73</v>
      </c>
      <c r="DE36" s="14">
        <f t="shared" si="35"/>
        <v>0</v>
      </c>
      <c r="DF36" s="14">
        <v>94231.94</v>
      </c>
      <c r="DG36" s="14">
        <f t="shared" si="36"/>
        <v>94231.94</v>
      </c>
      <c r="DH36" s="14">
        <f t="shared" si="37"/>
        <v>0</v>
      </c>
      <c r="DI36" s="14">
        <v>2237.92</v>
      </c>
      <c r="DJ36" s="14">
        <f>IFERROR(VLOOKUP(D36,#REF!,2,0),0)</f>
        <v>0</v>
      </c>
      <c r="DK36" s="14">
        <f t="shared" si="38"/>
        <v>-2237.92</v>
      </c>
      <c r="DL36" s="14">
        <v>100746.31</v>
      </c>
      <c r="DM36" s="14">
        <v>1705262.25</v>
      </c>
      <c r="DN36" s="14">
        <v>8008.83</v>
      </c>
      <c r="DO36" s="14">
        <v>4181.3100000000004</v>
      </c>
      <c r="DP36" s="14">
        <v>0</v>
      </c>
      <c r="DQ36" s="14">
        <v>100287.31</v>
      </c>
      <c r="DR36" s="14">
        <v>28</v>
      </c>
      <c r="DS36" s="14">
        <v>0</v>
      </c>
      <c r="DT36" s="5" t="s">
        <v>206</v>
      </c>
      <c r="DU36" s="5" t="s">
        <v>195</v>
      </c>
      <c r="DV36" s="5" t="s">
        <v>196</v>
      </c>
      <c r="DW36" s="5" t="s">
        <v>197</v>
      </c>
    </row>
    <row r="37" spans="1:127" ht="16.5">
      <c r="A37" s="5" t="s">
        <v>184</v>
      </c>
      <c r="B37" s="5" t="s">
        <v>147</v>
      </c>
      <c r="C37" s="5" t="s">
        <v>148</v>
      </c>
      <c r="D37" s="5" t="s">
        <v>419</v>
      </c>
      <c r="E37" s="5" t="e">
        <f>VLOOKUP(D37,#REF!,1,0)</f>
        <v>#REF!</v>
      </c>
      <c r="F37" s="5" t="s">
        <v>420</v>
      </c>
      <c r="G37" s="5" t="s">
        <v>421</v>
      </c>
      <c r="H37" s="5" t="str">
        <f t="shared" si="0"/>
        <v>Chun Yin Shing</v>
      </c>
      <c r="I37" s="5" t="e">
        <f>VLOOKUP(D37,#REF!,9,0)</f>
        <v>#REF!</v>
      </c>
      <c r="J37" s="5" t="e">
        <f t="shared" si="1"/>
        <v>#REF!</v>
      </c>
      <c r="K37" s="5" t="s">
        <v>422</v>
      </c>
      <c r="L37" s="5" t="s">
        <v>151</v>
      </c>
      <c r="M37" s="5" t="s">
        <v>423</v>
      </c>
      <c r="N37" s="10" t="e">
        <f>VLOOKUP(D37,#REF!,80,0)</f>
        <v>#REF!</v>
      </c>
      <c r="O37" s="11" t="e">
        <f t="shared" si="11"/>
        <v>#REF!</v>
      </c>
      <c r="P37" s="5" t="s">
        <v>424</v>
      </c>
      <c r="Q37" s="5" t="e">
        <f>VLOOKUP(D37,#REF!,50,0)</f>
        <v>#REF!</v>
      </c>
      <c r="R37" s="5" t="e">
        <f t="shared" si="12"/>
        <v>#REF!</v>
      </c>
      <c r="S37" s="5" t="s">
        <v>425</v>
      </c>
      <c r="T37" s="5" t="e">
        <f>VLOOKUP(D37,#REF!,21,0)</f>
        <v>#REF!</v>
      </c>
      <c r="U37" s="5" t="e">
        <f t="shared" si="13"/>
        <v>#REF!</v>
      </c>
      <c r="V37" s="5" t="s">
        <v>426</v>
      </c>
      <c r="W37" s="5" t="e">
        <f>VLOOKUP(D37,#REF!,51,0)</f>
        <v>#REF!</v>
      </c>
      <c r="X37" s="5" t="e">
        <f t="shared" si="14"/>
        <v>#REF!</v>
      </c>
      <c r="Y37" s="5" t="s">
        <v>192</v>
      </c>
      <c r="Z37" s="5" t="s">
        <v>193</v>
      </c>
      <c r="AA37" s="14">
        <v>3.9</v>
      </c>
      <c r="AB37" s="14">
        <v>90000</v>
      </c>
      <c r="AC37" s="14" t="e">
        <f>ROUND(VLOOKUP(D37,#REF!,59,0),0)</f>
        <v>#REF!</v>
      </c>
      <c r="AD37" s="14" t="e">
        <f t="shared" si="40"/>
        <v>#REF!</v>
      </c>
      <c r="AE37" s="14">
        <v>90000</v>
      </c>
      <c r="AF37" s="14">
        <f t="shared" si="41"/>
        <v>90000</v>
      </c>
      <c r="AG37" s="14">
        <f t="shared" si="42"/>
        <v>0</v>
      </c>
      <c r="AH37" s="14">
        <v>0</v>
      </c>
      <c r="AI37" s="14"/>
      <c r="AJ37" s="14"/>
      <c r="AK37" s="14">
        <v>0</v>
      </c>
      <c r="AL37" s="14"/>
      <c r="AM37" s="14"/>
      <c r="AN37" s="14">
        <v>0</v>
      </c>
      <c r="AO37" s="14">
        <v>0</v>
      </c>
      <c r="AP37" s="14">
        <f>IFERROR(VLOOKUP('Feb for check'!D37,#REF!,15,0),0)</f>
        <v>0</v>
      </c>
      <c r="AQ37" s="14">
        <f t="shared" si="18"/>
        <v>0</v>
      </c>
      <c r="AR37" s="14">
        <v>0</v>
      </c>
      <c r="AS37" s="14">
        <f t="shared" si="19"/>
        <v>0</v>
      </c>
      <c r="AT37" s="14">
        <f t="shared" si="20"/>
        <v>0</v>
      </c>
      <c r="AU37" s="14">
        <v>0</v>
      </c>
      <c r="AV37" s="14"/>
      <c r="AW37" s="14">
        <v>0</v>
      </c>
      <c r="AX37" s="14"/>
      <c r="AY37" s="14">
        <v>0</v>
      </c>
      <c r="AZ37" s="14"/>
      <c r="BA37" s="14">
        <v>0</v>
      </c>
      <c r="BB37" s="14">
        <f>IFERROR(VLOOKUP(D37,#REF!,2,0),0)</f>
        <v>0</v>
      </c>
      <c r="BC37" s="14" t="e">
        <f>MAX(VLOOKUP(D37,#REF!,13,0)-VLOOKUP(D37,#REF!,14,0),0)</f>
        <v>#REF!</v>
      </c>
      <c r="BD37" s="14">
        <f>IFERROR(VLOOKUP(D37,#REF!,3,0),0)</f>
        <v>0</v>
      </c>
      <c r="BE37" s="14" t="e">
        <f>MAX(VLOOKUP(D37,#REF!,22,0)-VLOOKUP(D37,#REF!,23,0),0)</f>
        <v>#REF!</v>
      </c>
      <c r="BF37" s="14" t="e">
        <f t="shared" si="21"/>
        <v>#REF!</v>
      </c>
      <c r="BG37" s="14" t="e">
        <f t="shared" si="22"/>
        <v>#REF!</v>
      </c>
      <c r="BH37" s="14">
        <v>0</v>
      </c>
      <c r="BI37" s="14"/>
      <c r="BJ37" s="14"/>
      <c r="BK37" s="14">
        <v>2292</v>
      </c>
      <c r="BL37" s="14">
        <f t="shared" si="23"/>
        <v>2292</v>
      </c>
      <c r="BM37" s="14">
        <f t="shared" si="24"/>
        <v>0</v>
      </c>
      <c r="BN37" s="14">
        <v>0</v>
      </c>
      <c r="BO37" s="14"/>
      <c r="BP37" s="14"/>
      <c r="BQ37" s="14"/>
      <c r="BR37" s="14">
        <v>0</v>
      </c>
      <c r="BS37" s="14"/>
      <c r="BT37" s="14">
        <v>0</v>
      </c>
      <c r="BU37" s="14"/>
      <c r="BV37" s="14">
        <v>0</v>
      </c>
      <c r="BW37" s="14"/>
      <c r="BX37" s="14">
        <v>92292</v>
      </c>
      <c r="BY37" s="14">
        <f t="shared" si="25"/>
        <v>92292</v>
      </c>
      <c r="BZ37" s="14">
        <f t="shared" si="26"/>
        <v>0</v>
      </c>
      <c r="CA37" s="14">
        <v>90000</v>
      </c>
      <c r="CB37" s="14">
        <f t="shared" si="27"/>
        <v>90000</v>
      </c>
      <c r="CC37" s="14">
        <f t="shared" si="28"/>
        <v>0</v>
      </c>
      <c r="CD37" s="14">
        <v>0</v>
      </c>
      <c r="CE37" s="14"/>
      <c r="CF37" s="14"/>
      <c r="CG37" s="14">
        <v>0</v>
      </c>
      <c r="CH37" s="14"/>
      <c r="CI37" s="14">
        <v>2958.9041000000002</v>
      </c>
      <c r="CJ37" s="14">
        <v>0.05</v>
      </c>
      <c r="CK37" s="14"/>
      <c r="CL37" s="14">
        <v>0</v>
      </c>
      <c r="CM37" s="14">
        <v>0.1</v>
      </c>
      <c r="CN37" s="14">
        <v>0</v>
      </c>
      <c r="CO37" s="14">
        <v>0</v>
      </c>
      <c r="CP37" s="14">
        <v>0</v>
      </c>
      <c r="CQ37" s="14"/>
      <c r="CR37" s="14">
        <v>0</v>
      </c>
      <c r="CS37" s="14"/>
      <c r="CT37" s="14">
        <v>1500</v>
      </c>
      <c r="CU37" s="14">
        <f t="shared" si="43"/>
        <v>1500</v>
      </c>
      <c r="CV37" s="14">
        <f t="shared" si="44"/>
        <v>0</v>
      </c>
      <c r="CW37" s="14">
        <v>4500</v>
      </c>
      <c r="CX37" s="14">
        <f t="shared" si="31"/>
        <v>4500</v>
      </c>
      <c r="CY37" s="14">
        <f t="shared" si="32"/>
        <v>0</v>
      </c>
      <c r="CZ37" s="14">
        <v>1500</v>
      </c>
      <c r="DA37" s="14">
        <f t="shared" si="33"/>
        <v>1500</v>
      </c>
      <c r="DB37" s="14">
        <f t="shared" si="34"/>
        <v>0</v>
      </c>
      <c r="DC37" s="14">
        <v>7500</v>
      </c>
      <c r="DD37" s="14">
        <f t="shared" si="39"/>
        <v>7500</v>
      </c>
      <c r="DE37" s="14">
        <f t="shared" si="35"/>
        <v>0</v>
      </c>
      <c r="DF37" s="14">
        <v>86292</v>
      </c>
      <c r="DG37" s="14">
        <f t="shared" si="36"/>
        <v>86292</v>
      </c>
      <c r="DH37" s="14">
        <f t="shared" si="37"/>
        <v>0</v>
      </c>
      <c r="DI37" s="14">
        <v>11189.62</v>
      </c>
      <c r="DJ37" s="14">
        <f>IFERROR(VLOOKUP(D37,#REF!,2,0),0)</f>
        <v>0</v>
      </c>
      <c r="DK37" s="14">
        <f t="shared" si="38"/>
        <v>-11189.62</v>
      </c>
      <c r="DL37" s="14">
        <v>92292</v>
      </c>
      <c r="DM37" s="14">
        <v>1512962.5</v>
      </c>
      <c r="DN37" s="14">
        <v>7500</v>
      </c>
      <c r="DO37" s="14">
        <v>0</v>
      </c>
      <c r="DP37" s="14">
        <v>0</v>
      </c>
      <c r="DQ37" s="14">
        <v>90000</v>
      </c>
      <c r="DR37" s="14">
        <v>28</v>
      </c>
      <c r="DS37" s="14">
        <v>0</v>
      </c>
      <c r="DT37" s="5" t="s">
        <v>206</v>
      </c>
      <c r="DU37" s="5" t="s">
        <v>195</v>
      </c>
      <c r="DV37" s="5" t="s">
        <v>196</v>
      </c>
      <c r="DW37" s="5" t="s">
        <v>197</v>
      </c>
    </row>
    <row r="38" spans="1:127" ht="16.5">
      <c r="A38" s="5" t="s">
        <v>184</v>
      </c>
      <c r="B38" s="5" t="s">
        <v>147</v>
      </c>
      <c r="C38" s="5" t="s">
        <v>148</v>
      </c>
      <c r="D38" s="5" t="s">
        <v>427</v>
      </c>
      <c r="E38" s="5" t="e">
        <f>VLOOKUP(D38,#REF!,1,0)</f>
        <v>#REF!</v>
      </c>
      <c r="F38" s="5" t="s">
        <v>428</v>
      </c>
      <c r="G38" s="5" t="s">
        <v>429</v>
      </c>
      <c r="H38" s="5" t="str">
        <f t="shared" si="0"/>
        <v>Man Lok Cheung</v>
      </c>
      <c r="I38" s="5" t="e">
        <f>VLOOKUP(D38,#REF!,9,0)</f>
        <v>#REF!</v>
      </c>
      <c r="J38" s="5" t="e">
        <f t="shared" si="1"/>
        <v>#REF!</v>
      </c>
      <c r="K38" s="5" t="s">
        <v>430</v>
      </c>
      <c r="L38" s="5" t="s">
        <v>151</v>
      </c>
      <c r="M38" s="5" t="s">
        <v>431</v>
      </c>
      <c r="N38" s="10" t="e">
        <f>VLOOKUP(D38,#REF!,80,0)</f>
        <v>#REF!</v>
      </c>
      <c r="O38" s="11" t="e">
        <f t="shared" si="11"/>
        <v>#REF!</v>
      </c>
      <c r="P38" s="5" t="s">
        <v>253</v>
      </c>
      <c r="Q38" s="5" t="e">
        <f>VLOOKUP(D38,#REF!,50,0)</f>
        <v>#REF!</v>
      </c>
      <c r="R38" s="5" t="e">
        <f t="shared" si="12"/>
        <v>#REF!</v>
      </c>
      <c r="S38" s="5" t="s">
        <v>432</v>
      </c>
      <c r="T38" s="5" t="e">
        <f>VLOOKUP(D38,#REF!,21,0)</f>
        <v>#REF!</v>
      </c>
      <c r="U38" s="5" t="e">
        <f t="shared" si="13"/>
        <v>#REF!</v>
      </c>
      <c r="V38" s="5" t="s">
        <v>255</v>
      </c>
      <c r="W38" s="5" t="e">
        <f>VLOOKUP(D38,#REF!,51,0)</f>
        <v>#REF!</v>
      </c>
      <c r="X38" s="5" t="e">
        <f t="shared" si="14"/>
        <v>#REF!</v>
      </c>
      <c r="Y38" s="5" t="s">
        <v>192</v>
      </c>
      <c r="Z38" s="5" t="s">
        <v>193</v>
      </c>
      <c r="AA38" s="14">
        <v>1.38</v>
      </c>
      <c r="AB38" s="14">
        <v>48504</v>
      </c>
      <c r="AC38" s="14" t="e">
        <f>ROUND(VLOOKUP(D38,#REF!,59,0),0)</f>
        <v>#REF!</v>
      </c>
      <c r="AD38" s="14" t="e">
        <f t="shared" si="40"/>
        <v>#REF!</v>
      </c>
      <c r="AE38" s="14">
        <v>48504</v>
      </c>
      <c r="AF38" s="14">
        <f t="shared" si="41"/>
        <v>48504</v>
      </c>
      <c r="AG38" s="14">
        <f t="shared" si="42"/>
        <v>0</v>
      </c>
      <c r="AH38" s="14">
        <v>0</v>
      </c>
      <c r="AI38" s="14"/>
      <c r="AJ38" s="14"/>
      <c r="AK38" s="14">
        <v>0</v>
      </c>
      <c r="AL38" s="14"/>
      <c r="AM38" s="14"/>
      <c r="AN38" s="14">
        <v>0</v>
      </c>
      <c r="AO38" s="14">
        <v>0</v>
      </c>
      <c r="AP38" s="14">
        <f>IFERROR(VLOOKUP('Feb for check'!D38,#REF!,15,0),0)</f>
        <v>0</v>
      </c>
      <c r="AQ38" s="14">
        <f t="shared" si="18"/>
        <v>0</v>
      </c>
      <c r="AR38" s="14">
        <v>0</v>
      </c>
      <c r="AS38" s="14">
        <f t="shared" si="19"/>
        <v>0</v>
      </c>
      <c r="AT38" s="14">
        <f t="shared" si="20"/>
        <v>0</v>
      </c>
      <c r="AU38" s="14">
        <v>0</v>
      </c>
      <c r="AV38" s="14"/>
      <c r="AW38" s="14">
        <v>0</v>
      </c>
      <c r="AX38" s="14"/>
      <c r="AY38" s="14">
        <v>0</v>
      </c>
      <c r="AZ38" s="14"/>
      <c r="BA38" s="14">
        <v>49.4</v>
      </c>
      <c r="BB38" s="14">
        <f>IFERROR(VLOOKUP(D38,#REF!,2,0),0)</f>
        <v>0</v>
      </c>
      <c r="BC38" s="14" t="e">
        <f>MAX(VLOOKUP(D38,#REF!,13,0)-VLOOKUP(D38,#REF!,14,0),0)</f>
        <v>#REF!</v>
      </c>
      <c r="BD38" s="14">
        <f>IFERROR(VLOOKUP(D38,#REF!,3,0),0)</f>
        <v>0</v>
      </c>
      <c r="BE38" s="14" t="e">
        <f>MAX(VLOOKUP(D38,#REF!,22,0)-VLOOKUP(D38,#REF!,23,0),0)</f>
        <v>#REF!</v>
      </c>
      <c r="BF38" s="14" t="e">
        <f t="shared" si="21"/>
        <v>#REF!</v>
      </c>
      <c r="BG38" s="14" t="e">
        <f t="shared" si="22"/>
        <v>#REF!</v>
      </c>
      <c r="BH38" s="14">
        <v>0</v>
      </c>
      <c r="BI38" s="14"/>
      <c r="BJ38" s="14"/>
      <c r="BK38" s="14">
        <v>0</v>
      </c>
      <c r="BL38" s="14">
        <f t="shared" si="23"/>
        <v>0</v>
      </c>
      <c r="BM38" s="14">
        <f t="shared" si="24"/>
        <v>0</v>
      </c>
      <c r="BN38" s="14">
        <v>0</v>
      </c>
      <c r="BO38" s="14"/>
      <c r="BP38" s="14"/>
      <c r="BQ38" s="14"/>
      <c r="BR38" s="14">
        <v>0</v>
      </c>
      <c r="BS38" s="14"/>
      <c r="BT38" s="14">
        <v>0</v>
      </c>
      <c r="BU38" s="14"/>
      <c r="BV38" s="14">
        <v>0</v>
      </c>
      <c r="BW38" s="14"/>
      <c r="BX38" s="14">
        <v>48553.4</v>
      </c>
      <c r="BY38" s="14">
        <f t="shared" si="25"/>
        <v>48553.4</v>
      </c>
      <c r="BZ38" s="14">
        <f t="shared" si="26"/>
        <v>0</v>
      </c>
      <c r="CA38" s="14">
        <v>48553.4</v>
      </c>
      <c r="CB38" s="14">
        <f t="shared" si="27"/>
        <v>48553.4</v>
      </c>
      <c r="CC38" s="14">
        <f t="shared" si="28"/>
        <v>0</v>
      </c>
      <c r="CD38" s="14">
        <v>0</v>
      </c>
      <c r="CE38" s="14"/>
      <c r="CF38" s="14"/>
      <c r="CG38" s="14">
        <v>0</v>
      </c>
      <c r="CH38" s="14"/>
      <c r="CI38" s="14">
        <v>1594.652</v>
      </c>
      <c r="CJ38" s="14">
        <v>0</v>
      </c>
      <c r="CK38" s="14"/>
      <c r="CL38" s="14">
        <v>0</v>
      </c>
      <c r="CM38" s="14">
        <v>7.4999999999999997E-2</v>
      </c>
      <c r="CN38" s="14">
        <v>0</v>
      </c>
      <c r="CO38" s="14">
        <v>0</v>
      </c>
      <c r="CP38" s="14">
        <v>0</v>
      </c>
      <c r="CQ38" s="14"/>
      <c r="CR38" s="14">
        <v>0</v>
      </c>
      <c r="CS38" s="14"/>
      <c r="CT38" s="14">
        <v>1500</v>
      </c>
      <c r="CU38" s="14">
        <f t="shared" si="43"/>
        <v>1500</v>
      </c>
      <c r="CV38" s="14">
        <f t="shared" si="44"/>
        <v>0</v>
      </c>
      <c r="CW38" s="14">
        <v>0</v>
      </c>
      <c r="CX38" s="14">
        <f t="shared" si="31"/>
        <v>0</v>
      </c>
      <c r="CY38" s="14">
        <f t="shared" si="32"/>
        <v>0</v>
      </c>
      <c r="CZ38" s="14">
        <v>1500</v>
      </c>
      <c r="DA38" s="14">
        <f t="shared" si="33"/>
        <v>1500</v>
      </c>
      <c r="DB38" s="14">
        <f t="shared" si="34"/>
        <v>0</v>
      </c>
      <c r="DC38" s="14">
        <v>2141.5100000000002</v>
      </c>
      <c r="DD38" s="14">
        <f t="shared" si="39"/>
        <v>2141.5100000000002</v>
      </c>
      <c r="DE38" s="14">
        <f t="shared" si="35"/>
        <v>0</v>
      </c>
      <c r="DF38" s="14">
        <v>47053.4</v>
      </c>
      <c r="DG38" s="14">
        <f t="shared" si="36"/>
        <v>47053.4</v>
      </c>
      <c r="DH38" s="14">
        <f t="shared" si="37"/>
        <v>0</v>
      </c>
      <c r="DI38" s="14">
        <v>0</v>
      </c>
      <c r="DJ38" s="14">
        <f>IFERROR(VLOOKUP(D38,#REF!,2,0),0)</f>
        <v>0</v>
      </c>
      <c r="DK38" s="14">
        <f t="shared" si="38"/>
        <v>0</v>
      </c>
      <c r="DL38" s="14">
        <v>48553.4</v>
      </c>
      <c r="DM38" s="14">
        <v>632085.02</v>
      </c>
      <c r="DN38" s="14">
        <v>4042</v>
      </c>
      <c r="DO38" s="14">
        <v>49.4</v>
      </c>
      <c r="DP38" s="14">
        <v>0</v>
      </c>
      <c r="DQ38" s="14">
        <v>48553.4</v>
      </c>
      <c r="DR38" s="14">
        <v>28</v>
      </c>
      <c r="DS38" s="14">
        <v>0</v>
      </c>
      <c r="DT38" s="5" t="s">
        <v>206</v>
      </c>
      <c r="DU38" s="5" t="s">
        <v>195</v>
      </c>
      <c r="DV38" s="5" t="s">
        <v>196</v>
      </c>
      <c r="DW38" s="5" t="s">
        <v>197</v>
      </c>
    </row>
    <row r="39" spans="1:127" ht="16.5">
      <c r="A39" s="5" t="s">
        <v>184</v>
      </c>
      <c r="B39" s="5" t="s">
        <v>147</v>
      </c>
      <c r="C39" s="5" t="s">
        <v>148</v>
      </c>
      <c r="D39" s="5" t="s">
        <v>433</v>
      </c>
      <c r="E39" s="5" t="e">
        <f>VLOOKUP(D39,#REF!,1,0)</f>
        <v>#REF!</v>
      </c>
      <c r="F39" s="5" t="s">
        <v>434</v>
      </c>
      <c r="G39" s="5" t="s">
        <v>435</v>
      </c>
      <c r="H39" s="5" t="str">
        <f t="shared" si="0"/>
        <v>On SiK Lau</v>
      </c>
      <c r="I39" s="5" t="e">
        <f>VLOOKUP(D39,#REF!,9,0)</f>
        <v>#REF!</v>
      </c>
      <c r="J39" s="5" t="e">
        <f t="shared" si="1"/>
        <v>#REF!</v>
      </c>
      <c r="K39" s="5" t="s">
        <v>436</v>
      </c>
      <c r="L39" s="5" t="s">
        <v>151</v>
      </c>
      <c r="M39" s="5" t="s">
        <v>437</v>
      </c>
      <c r="N39" s="10" t="e">
        <f>VLOOKUP(D39,#REF!,80,0)</f>
        <v>#REF!</v>
      </c>
      <c r="O39" s="11" t="e">
        <f t="shared" si="11"/>
        <v>#REF!</v>
      </c>
      <c r="P39" s="5" t="s">
        <v>275</v>
      </c>
      <c r="Q39" s="5" t="e">
        <f>VLOOKUP(D39,#REF!,50,0)</f>
        <v>#REF!</v>
      </c>
      <c r="R39" s="5" t="e">
        <f t="shared" si="12"/>
        <v>#REF!</v>
      </c>
      <c r="S39" s="5" t="s">
        <v>438</v>
      </c>
      <c r="T39" s="5" t="e">
        <f>VLOOKUP(D39,#REF!,21,0)</f>
        <v>#REF!</v>
      </c>
      <c r="U39" s="5" t="e">
        <f t="shared" si="13"/>
        <v>#REF!</v>
      </c>
      <c r="V39" s="5" t="s">
        <v>277</v>
      </c>
      <c r="W39" s="5" t="e">
        <f>VLOOKUP(D39,#REF!,51,0)</f>
        <v>#REF!</v>
      </c>
      <c r="X39" s="5" t="e">
        <f t="shared" si="14"/>
        <v>#REF!</v>
      </c>
      <c r="Y39" s="5" t="s">
        <v>192</v>
      </c>
      <c r="Z39" s="5" t="s">
        <v>193</v>
      </c>
      <c r="AA39" s="14">
        <v>5.24</v>
      </c>
      <c r="AB39" s="14">
        <v>78200</v>
      </c>
      <c r="AC39" s="14" t="e">
        <f>ROUND(VLOOKUP(D39,#REF!,59,0),0)</f>
        <v>#REF!</v>
      </c>
      <c r="AD39" s="14" t="e">
        <f t="shared" si="40"/>
        <v>#REF!</v>
      </c>
      <c r="AE39" s="14">
        <v>78200</v>
      </c>
      <c r="AF39" s="14">
        <f t="shared" si="41"/>
        <v>78200</v>
      </c>
      <c r="AG39" s="14">
        <f t="shared" si="42"/>
        <v>0</v>
      </c>
      <c r="AH39" s="14">
        <v>0</v>
      </c>
      <c r="AI39" s="14"/>
      <c r="AJ39" s="14"/>
      <c r="AK39" s="14">
        <v>0</v>
      </c>
      <c r="AL39" s="14"/>
      <c r="AM39" s="14"/>
      <c r="AN39" s="14">
        <v>0</v>
      </c>
      <c r="AO39" s="14">
        <v>2500</v>
      </c>
      <c r="AP39" s="14">
        <f>IFERROR(VLOOKUP('Feb for check'!D39,#REF!,15,0),0)</f>
        <v>0</v>
      </c>
      <c r="AQ39" s="14">
        <f t="shared" si="18"/>
        <v>-2500</v>
      </c>
      <c r="AR39" s="14">
        <v>2500</v>
      </c>
      <c r="AS39" s="14">
        <f t="shared" si="19"/>
        <v>2500</v>
      </c>
      <c r="AT39" s="14">
        <f t="shared" si="20"/>
        <v>0</v>
      </c>
      <c r="AU39" s="14">
        <v>0</v>
      </c>
      <c r="AV39" s="14"/>
      <c r="AW39" s="14">
        <v>0</v>
      </c>
      <c r="AX39" s="14"/>
      <c r="AY39" s="14">
        <v>0</v>
      </c>
      <c r="AZ39" s="14"/>
      <c r="BA39" s="14">
        <v>604.49</v>
      </c>
      <c r="BB39" s="14">
        <f>IFERROR(VLOOKUP(D39,#REF!,2,0),0)</f>
        <v>0</v>
      </c>
      <c r="BC39" s="14" t="e">
        <f>MAX(VLOOKUP(D39,#REF!,13,0)-VLOOKUP(D39,#REF!,14,0),0)</f>
        <v>#REF!</v>
      </c>
      <c r="BD39" s="14">
        <f>IFERROR(VLOOKUP(D39,#REF!,3,0),0)</f>
        <v>0</v>
      </c>
      <c r="BE39" s="14" t="e">
        <f>MAX(VLOOKUP(D39,#REF!,22,0)-VLOOKUP(D39,#REF!,23,0),0)</f>
        <v>#REF!</v>
      </c>
      <c r="BF39" s="14" t="e">
        <f t="shared" si="21"/>
        <v>#REF!</v>
      </c>
      <c r="BG39" s="14" t="e">
        <f t="shared" si="22"/>
        <v>#REF!</v>
      </c>
      <c r="BH39" s="14">
        <v>0</v>
      </c>
      <c r="BI39" s="14"/>
      <c r="BJ39" s="14"/>
      <c r="BK39" s="14">
        <v>459</v>
      </c>
      <c r="BL39" s="14">
        <f t="shared" si="23"/>
        <v>459</v>
      </c>
      <c r="BM39" s="14">
        <f t="shared" si="24"/>
        <v>0</v>
      </c>
      <c r="BN39" s="14">
        <v>0</v>
      </c>
      <c r="BO39" s="14"/>
      <c r="BP39" s="14"/>
      <c r="BQ39" s="14"/>
      <c r="BR39" s="14">
        <v>0</v>
      </c>
      <c r="BS39" s="14"/>
      <c r="BT39" s="14">
        <v>0</v>
      </c>
      <c r="BU39" s="14"/>
      <c r="BV39" s="14">
        <v>0</v>
      </c>
      <c r="BW39" s="14"/>
      <c r="BX39" s="14">
        <v>81763.490000000005</v>
      </c>
      <c r="BY39" s="14">
        <f t="shared" si="25"/>
        <v>81763.490000000005</v>
      </c>
      <c r="BZ39" s="14">
        <f t="shared" si="26"/>
        <v>0</v>
      </c>
      <c r="CA39" s="14">
        <v>78804.490000000005</v>
      </c>
      <c r="CB39" s="14">
        <f t="shared" si="27"/>
        <v>78804.490000000005</v>
      </c>
      <c r="CC39" s="14">
        <f t="shared" si="28"/>
        <v>0</v>
      </c>
      <c r="CD39" s="14">
        <v>0</v>
      </c>
      <c r="CE39" s="14"/>
      <c r="CF39" s="14"/>
      <c r="CG39" s="14">
        <v>0</v>
      </c>
      <c r="CH39" s="14"/>
      <c r="CI39" s="14">
        <v>2653.1505999999999</v>
      </c>
      <c r="CJ39" s="14">
        <v>0.05</v>
      </c>
      <c r="CK39" s="14"/>
      <c r="CL39" s="14">
        <v>0</v>
      </c>
      <c r="CM39" s="14">
        <v>0.1</v>
      </c>
      <c r="CN39" s="14">
        <v>0</v>
      </c>
      <c r="CO39" s="14">
        <v>0</v>
      </c>
      <c r="CP39" s="14">
        <v>0</v>
      </c>
      <c r="CQ39" s="14"/>
      <c r="CR39" s="14">
        <v>0</v>
      </c>
      <c r="CS39" s="14"/>
      <c r="CT39" s="14">
        <v>1500</v>
      </c>
      <c r="CU39" s="14">
        <f t="shared" si="43"/>
        <v>1500</v>
      </c>
      <c r="CV39" s="14">
        <f t="shared" si="44"/>
        <v>0</v>
      </c>
      <c r="CW39" s="14">
        <v>3940.22</v>
      </c>
      <c r="CX39" s="14">
        <f t="shared" si="31"/>
        <v>3940.22</v>
      </c>
      <c r="CY39" s="14">
        <f t="shared" si="32"/>
        <v>0</v>
      </c>
      <c r="CZ39" s="14">
        <v>1500</v>
      </c>
      <c r="DA39" s="14">
        <f t="shared" si="33"/>
        <v>1500</v>
      </c>
      <c r="DB39" s="14">
        <f t="shared" si="34"/>
        <v>0</v>
      </c>
      <c r="DC39" s="14">
        <v>6380.45</v>
      </c>
      <c r="DD39" s="14">
        <f t="shared" si="39"/>
        <v>6380.45</v>
      </c>
      <c r="DE39" s="14">
        <f t="shared" si="35"/>
        <v>0</v>
      </c>
      <c r="DF39" s="14">
        <v>76323.27</v>
      </c>
      <c r="DG39" s="14">
        <f t="shared" si="36"/>
        <v>76323.27</v>
      </c>
      <c r="DH39" s="14">
        <f t="shared" si="37"/>
        <v>0</v>
      </c>
      <c r="DI39" s="14">
        <v>2237.92</v>
      </c>
      <c r="DJ39" s="14">
        <f>IFERROR(VLOOKUP(D39,#REF!,2,0),0)</f>
        <v>0</v>
      </c>
      <c r="DK39" s="14">
        <f t="shared" si="38"/>
        <v>-2237.92</v>
      </c>
      <c r="DL39" s="14">
        <v>79263.490000000005</v>
      </c>
      <c r="DM39" s="14">
        <v>1269921.26</v>
      </c>
      <c r="DN39" s="14">
        <v>6516.67</v>
      </c>
      <c r="DO39" s="14">
        <v>604.49</v>
      </c>
      <c r="DP39" s="14">
        <v>0</v>
      </c>
      <c r="DQ39" s="14">
        <v>81304.490000000005</v>
      </c>
      <c r="DR39" s="14">
        <v>28</v>
      </c>
      <c r="DS39" s="14">
        <v>0</v>
      </c>
      <c r="DT39" s="5" t="s">
        <v>206</v>
      </c>
      <c r="DU39" s="5" t="s">
        <v>195</v>
      </c>
      <c r="DV39" s="5" t="s">
        <v>196</v>
      </c>
      <c r="DW39" s="5" t="s">
        <v>197</v>
      </c>
    </row>
    <row r="40" spans="1:127" ht="16.5">
      <c r="A40" s="5" t="s">
        <v>184</v>
      </c>
      <c r="B40" s="5" t="s">
        <v>147</v>
      </c>
      <c r="C40" s="5" t="s">
        <v>148</v>
      </c>
      <c r="D40" s="5" t="s">
        <v>439</v>
      </c>
      <c r="E40" s="5" t="e">
        <f>VLOOKUP(D40,#REF!,1,0)</f>
        <v>#REF!</v>
      </c>
      <c r="F40" s="5" t="s">
        <v>440</v>
      </c>
      <c r="G40" s="5" t="s">
        <v>441</v>
      </c>
      <c r="H40" s="5" t="str">
        <f t="shared" si="0"/>
        <v>Tsz Ying Ophelia Chiu</v>
      </c>
      <c r="I40" s="5" t="e">
        <f>VLOOKUP(D40,#REF!,9,0)</f>
        <v>#REF!</v>
      </c>
      <c r="J40" s="5" t="e">
        <f t="shared" si="1"/>
        <v>#REF!</v>
      </c>
      <c r="K40" s="5" t="s">
        <v>442</v>
      </c>
      <c r="L40" s="5" t="s">
        <v>151</v>
      </c>
      <c r="M40" s="5" t="s">
        <v>443</v>
      </c>
      <c r="N40" s="10" t="e">
        <f>VLOOKUP(D40,#REF!,80,0)</f>
        <v>#REF!</v>
      </c>
      <c r="O40" s="11" t="e">
        <f t="shared" si="11"/>
        <v>#REF!</v>
      </c>
      <c r="P40" s="5" t="s">
        <v>260</v>
      </c>
      <c r="Q40" s="5" t="e">
        <f>VLOOKUP(D40,#REF!,50,0)</f>
        <v>#REF!</v>
      </c>
      <c r="R40" s="5" t="e">
        <f t="shared" si="12"/>
        <v>#REF!</v>
      </c>
      <c r="S40" s="5" t="s">
        <v>444</v>
      </c>
      <c r="T40" s="5" t="e">
        <f>VLOOKUP(D40,#REF!,21,0)</f>
        <v>#REF!</v>
      </c>
      <c r="U40" s="5" t="e">
        <f t="shared" si="13"/>
        <v>#REF!</v>
      </c>
      <c r="V40" s="5" t="s">
        <v>262</v>
      </c>
      <c r="W40" s="5" t="e">
        <f>VLOOKUP(D40,#REF!,51,0)</f>
        <v>#REF!</v>
      </c>
      <c r="X40" s="5" t="e">
        <f t="shared" si="14"/>
        <v>#REF!</v>
      </c>
      <c r="Y40" s="5" t="s">
        <v>192</v>
      </c>
      <c r="Z40" s="5" t="s">
        <v>193</v>
      </c>
      <c r="AA40" s="14">
        <v>2.66</v>
      </c>
      <c r="AB40" s="14">
        <v>25109</v>
      </c>
      <c r="AC40" s="14" t="e">
        <f>ROUND(VLOOKUP(D40,#REF!,59,0),0)</f>
        <v>#REF!</v>
      </c>
      <c r="AD40" s="14" t="e">
        <f t="shared" si="40"/>
        <v>#REF!</v>
      </c>
      <c r="AE40" s="14">
        <v>25109</v>
      </c>
      <c r="AF40" s="14">
        <f t="shared" si="41"/>
        <v>25109</v>
      </c>
      <c r="AG40" s="14">
        <f t="shared" si="42"/>
        <v>0</v>
      </c>
      <c r="AH40" s="14">
        <v>0</v>
      </c>
      <c r="AI40" s="14"/>
      <c r="AJ40" s="14"/>
      <c r="AK40" s="14">
        <v>0</v>
      </c>
      <c r="AL40" s="14"/>
      <c r="AM40" s="14"/>
      <c r="AN40" s="14">
        <v>0</v>
      </c>
      <c r="AO40" s="14">
        <v>0</v>
      </c>
      <c r="AP40" s="14">
        <f>IFERROR(VLOOKUP('Feb for check'!D40,#REF!,15,0),0)</f>
        <v>0</v>
      </c>
      <c r="AQ40" s="14">
        <f t="shared" si="18"/>
        <v>0</v>
      </c>
      <c r="AR40" s="14">
        <v>0</v>
      </c>
      <c r="AS40" s="14">
        <f t="shared" si="19"/>
        <v>0</v>
      </c>
      <c r="AT40" s="14">
        <f t="shared" si="20"/>
        <v>0</v>
      </c>
      <c r="AU40" s="14">
        <v>0</v>
      </c>
      <c r="AV40" s="14"/>
      <c r="AW40" s="14">
        <v>0</v>
      </c>
      <c r="AX40" s="14"/>
      <c r="AY40" s="14">
        <v>0</v>
      </c>
      <c r="AZ40" s="14"/>
      <c r="BA40" s="14">
        <v>580.62</v>
      </c>
      <c r="BB40" s="14">
        <f>IFERROR(VLOOKUP(D40,#REF!,2,0),0)</f>
        <v>0</v>
      </c>
      <c r="BC40" s="14" t="e">
        <f>MAX(VLOOKUP(D40,#REF!,13,0)-VLOOKUP(D40,#REF!,14,0),0)</f>
        <v>#REF!</v>
      </c>
      <c r="BD40" s="14">
        <f>IFERROR(VLOOKUP(D40,#REF!,3,0),0)</f>
        <v>0</v>
      </c>
      <c r="BE40" s="14" t="e">
        <f>MAX(VLOOKUP(D40,#REF!,22,0)-VLOOKUP(D40,#REF!,23,0),0)</f>
        <v>#REF!</v>
      </c>
      <c r="BF40" s="14" t="e">
        <f t="shared" si="21"/>
        <v>#REF!</v>
      </c>
      <c r="BG40" s="14" t="e">
        <f t="shared" si="22"/>
        <v>#REF!</v>
      </c>
      <c r="BH40" s="14">
        <v>0</v>
      </c>
      <c r="BI40" s="14"/>
      <c r="BJ40" s="14"/>
      <c r="BK40" s="14">
        <v>459</v>
      </c>
      <c r="BL40" s="14">
        <f t="shared" si="23"/>
        <v>459</v>
      </c>
      <c r="BM40" s="14">
        <f t="shared" si="24"/>
        <v>0</v>
      </c>
      <c r="BN40" s="14">
        <v>0</v>
      </c>
      <c r="BO40" s="14"/>
      <c r="BP40" s="14"/>
      <c r="BQ40" s="14"/>
      <c r="BR40" s="14">
        <v>0</v>
      </c>
      <c r="BS40" s="14"/>
      <c r="BT40" s="14">
        <v>0</v>
      </c>
      <c r="BU40" s="14"/>
      <c r="BV40" s="14">
        <v>0</v>
      </c>
      <c r="BW40" s="14"/>
      <c r="BX40" s="14">
        <v>26148.62</v>
      </c>
      <c r="BY40" s="14">
        <f t="shared" si="25"/>
        <v>26148.62</v>
      </c>
      <c r="BZ40" s="14">
        <f t="shared" si="26"/>
        <v>0</v>
      </c>
      <c r="CA40" s="14">
        <v>25689.62</v>
      </c>
      <c r="CB40" s="14">
        <f t="shared" si="27"/>
        <v>25689.62</v>
      </c>
      <c r="CC40" s="14">
        <f t="shared" si="28"/>
        <v>0</v>
      </c>
      <c r="CD40" s="14">
        <v>0</v>
      </c>
      <c r="CE40" s="14"/>
      <c r="CF40" s="14"/>
      <c r="CG40" s="14">
        <v>0</v>
      </c>
      <c r="CH40" s="14"/>
      <c r="CI40" s="14">
        <v>825.50130000000001</v>
      </c>
      <c r="CJ40" s="14">
        <v>0</v>
      </c>
      <c r="CK40" s="14"/>
      <c r="CL40" s="14">
        <v>0</v>
      </c>
      <c r="CM40" s="14">
        <v>7.4999999999999997E-2</v>
      </c>
      <c r="CN40" s="14">
        <v>0</v>
      </c>
      <c r="CO40" s="14">
        <v>0</v>
      </c>
      <c r="CP40" s="14">
        <v>0</v>
      </c>
      <c r="CQ40" s="14"/>
      <c r="CR40" s="14">
        <v>0</v>
      </c>
      <c r="CS40" s="14"/>
      <c r="CT40" s="14">
        <v>1307.43</v>
      </c>
      <c r="CU40" s="14">
        <f t="shared" si="43"/>
        <v>1307.431</v>
      </c>
      <c r="CV40" s="14">
        <f t="shared" si="44"/>
        <v>9.9999999997635314E-4</v>
      </c>
      <c r="CW40" s="14">
        <v>0</v>
      </c>
      <c r="CX40" s="14">
        <f t="shared" si="31"/>
        <v>0</v>
      </c>
      <c r="CY40" s="14">
        <f t="shared" si="32"/>
        <v>0</v>
      </c>
      <c r="CZ40" s="14">
        <v>1307.43</v>
      </c>
      <c r="DA40" s="14">
        <f t="shared" si="33"/>
        <v>1307.431</v>
      </c>
      <c r="DB40" s="14">
        <f t="shared" si="34"/>
        <v>9.9999999997635314E-4</v>
      </c>
      <c r="DC40" s="14">
        <v>619.29</v>
      </c>
      <c r="DD40" s="14">
        <f t="shared" si="39"/>
        <v>619.29</v>
      </c>
      <c r="DE40" s="14">
        <f t="shared" si="35"/>
        <v>0</v>
      </c>
      <c r="DF40" s="14">
        <v>24841.19</v>
      </c>
      <c r="DG40" s="14">
        <f t="shared" si="36"/>
        <v>24841.19</v>
      </c>
      <c r="DH40" s="14">
        <f t="shared" si="37"/>
        <v>0</v>
      </c>
      <c r="DI40" s="14">
        <v>2237.92</v>
      </c>
      <c r="DJ40" s="14">
        <f>IFERROR(VLOOKUP(D40,#REF!,2,0),0)</f>
        <v>0</v>
      </c>
      <c r="DK40" s="14">
        <f t="shared" si="38"/>
        <v>-2237.92</v>
      </c>
      <c r="DL40" s="14">
        <v>26148.62</v>
      </c>
      <c r="DM40" s="14">
        <v>361271.82</v>
      </c>
      <c r="DN40" s="14">
        <v>2092.42</v>
      </c>
      <c r="DO40" s="14">
        <v>580.62</v>
      </c>
      <c r="DP40" s="14">
        <v>0</v>
      </c>
      <c r="DQ40" s="14">
        <v>25689.62</v>
      </c>
      <c r="DR40" s="14">
        <v>28</v>
      </c>
      <c r="DS40" s="14">
        <v>0</v>
      </c>
      <c r="DT40" s="5" t="s">
        <v>206</v>
      </c>
      <c r="DU40" s="5" t="s">
        <v>195</v>
      </c>
      <c r="DV40" s="5" t="s">
        <v>196</v>
      </c>
      <c r="DW40" s="5" t="s">
        <v>197</v>
      </c>
    </row>
    <row r="41" spans="1:127" ht="16.5">
      <c r="A41" s="5" t="s">
        <v>184</v>
      </c>
      <c r="B41" s="5" t="s">
        <v>147</v>
      </c>
      <c r="C41" s="5" t="s">
        <v>148</v>
      </c>
      <c r="D41" s="5" t="s">
        <v>445</v>
      </c>
      <c r="E41" s="5" t="e">
        <f>VLOOKUP(D41,#REF!,1,0)</f>
        <v>#REF!</v>
      </c>
      <c r="F41" s="5" t="s">
        <v>342</v>
      </c>
      <c r="G41" s="5" t="s">
        <v>446</v>
      </c>
      <c r="H41" s="5" t="str">
        <f t="shared" si="0"/>
        <v>Ka Ying Lee</v>
      </c>
      <c r="I41" s="5" t="e">
        <f>VLOOKUP(D41,#REF!,9,0)</f>
        <v>#REF!</v>
      </c>
      <c r="J41" s="5" t="e">
        <f t="shared" si="1"/>
        <v>#REF!</v>
      </c>
      <c r="K41" s="5" t="s">
        <v>447</v>
      </c>
      <c r="L41" s="5" t="s">
        <v>151</v>
      </c>
      <c r="M41" s="5" t="s">
        <v>448</v>
      </c>
      <c r="N41" s="10" t="e">
        <f>VLOOKUP(D41,#REF!,80,0)</f>
        <v>#REF!</v>
      </c>
      <c r="O41" s="11" t="e">
        <f t="shared" si="11"/>
        <v>#REF!</v>
      </c>
      <c r="P41" s="5" t="s">
        <v>253</v>
      </c>
      <c r="Q41" s="5" t="e">
        <f>VLOOKUP(D41,#REF!,50,0)</f>
        <v>#REF!</v>
      </c>
      <c r="R41" s="5" t="e">
        <f t="shared" si="12"/>
        <v>#REF!</v>
      </c>
      <c r="S41" s="5" t="s">
        <v>449</v>
      </c>
      <c r="T41" s="5" t="e">
        <f>VLOOKUP(D41,#REF!,21,0)</f>
        <v>#REF!</v>
      </c>
      <c r="U41" s="5" t="e">
        <f t="shared" si="13"/>
        <v>#REF!</v>
      </c>
      <c r="V41" s="5" t="s">
        <v>255</v>
      </c>
      <c r="W41" s="5" t="e">
        <f>VLOOKUP(D41,#REF!,51,0)</f>
        <v>#REF!</v>
      </c>
      <c r="X41" s="5" t="e">
        <f t="shared" si="14"/>
        <v>#REF!</v>
      </c>
      <c r="Y41" s="5" t="s">
        <v>192</v>
      </c>
      <c r="Z41" s="5" t="s">
        <v>193</v>
      </c>
      <c r="AA41" s="14">
        <v>17.89</v>
      </c>
      <c r="AB41" s="14">
        <v>111280</v>
      </c>
      <c r="AC41" s="14" t="e">
        <f>ROUND(VLOOKUP(D41,#REF!,59,0),0)</f>
        <v>#REF!</v>
      </c>
      <c r="AD41" s="14" t="e">
        <f t="shared" si="40"/>
        <v>#REF!</v>
      </c>
      <c r="AE41" s="14">
        <v>111280</v>
      </c>
      <c r="AF41" s="14">
        <f t="shared" si="41"/>
        <v>111280</v>
      </c>
      <c r="AG41" s="14">
        <f t="shared" si="42"/>
        <v>0</v>
      </c>
      <c r="AH41" s="14">
        <v>0</v>
      </c>
      <c r="AI41" s="14"/>
      <c r="AJ41" s="14"/>
      <c r="AK41" s="14">
        <v>0</v>
      </c>
      <c r="AL41" s="14"/>
      <c r="AM41" s="14"/>
      <c r="AN41" s="14">
        <v>0</v>
      </c>
      <c r="AO41" s="14">
        <v>0</v>
      </c>
      <c r="AP41" s="14">
        <f>IFERROR(VLOOKUP('Feb for check'!D41,#REF!,15,0),0)</f>
        <v>0</v>
      </c>
      <c r="AQ41" s="14">
        <f t="shared" si="18"/>
        <v>0</v>
      </c>
      <c r="AR41" s="14">
        <v>0</v>
      </c>
      <c r="AS41" s="14">
        <f t="shared" si="19"/>
        <v>0</v>
      </c>
      <c r="AT41" s="14">
        <f t="shared" si="20"/>
        <v>0</v>
      </c>
      <c r="AU41" s="14">
        <v>0</v>
      </c>
      <c r="AV41" s="14"/>
      <c r="AW41" s="14">
        <v>0</v>
      </c>
      <c r="AX41" s="14"/>
      <c r="AY41" s="14">
        <v>0</v>
      </c>
      <c r="AZ41" s="14"/>
      <c r="BA41" s="14">
        <v>756.42</v>
      </c>
      <c r="BB41" s="14">
        <f>IFERROR(VLOOKUP(D41,#REF!,2,0),0)</f>
        <v>0</v>
      </c>
      <c r="BC41" s="14" t="e">
        <f>MAX(VLOOKUP(D41,#REF!,13,0)-VLOOKUP(D41,#REF!,14,0),0)</f>
        <v>#REF!</v>
      </c>
      <c r="BD41" s="14">
        <f>IFERROR(VLOOKUP(D41,#REF!,3,0),0)</f>
        <v>0</v>
      </c>
      <c r="BE41" s="14" t="e">
        <f>MAX(VLOOKUP(D41,#REF!,22,0)-VLOOKUP(D41,#REF!,23,0),0)</f>
        <v>#REF!</v>
      </c>
      <c r="BF41" s="14" t="e">
        <f t="shared" si="21"/>
        <v>#REF!</v>
      </c>
      <c r="BG41" s="14" t="e">
        <f t="shared" si="22"/>
        <v>#REF!</v>
      </c>
      <c r="BH41" s="14">
        <v>0</v>
      </c>
      <c r="BI41" s="14"/>
      <c r="BJ41" s="14"/>
      <c r="BK41" s="14">
        <v>1834</v>
      </c>
      <c r="BL41" s="14">
        <f t="shared" si="23"/>
        <v>1834</v>
      </c>
      <c r="BM41" s="14">
        <f t="shared" si="24"/>
        <v>0</v>
      </c>
      <c r="BN41" s="14">
        <v>0</v>
      </c>
      <c r="BO41" s="14"/>
      <c r="BP41" s="14"/>
      <c r="BQ41" s="14"/>
      <c r="BR41" s="14">
        <v>0</v>
      </c>
      <c r="BS41" s="14"/>
      <c r="BT41" s="14">
        <v>0</v>
      </c>
      <c r="BU41" s="14"/>
      <c r="BV41" s="14">
        <v>0</v>
      </c>
      <c r="BW41" s="14"/>
      <c r="BX41" s="14">
        <v>113870.42</v>
      </c>
      <c r="BY41" s="14">
        <f t="shared" si="25"/>
        <v>113870.42</v>
      </c>
      <c r="BZ41" s="14">
        <f t="shared" si="26"/>
        <v>0</v>
      </c>
      <c r="CA41" s="14">
        <v>112036.42</v>
      </c>
      <c r="CB41" s="14">
        <f t="shared" si="27"/>
        <v>112036.42</v>
      </c>
      <c r="CC41" s="14">
        <f t="shared" si="28"/>
        <v>0</v>
      </c>
      <c r="CD41" s="14">
        <v>0</v>
      </c>
      <c r="CE41" s="14"/>
      <c r="CF41" s="14"/>
      <c r="CG41" s="14">
        <v>0</v>
      </c>
      <c r="CH41" s="14"/>
      <c r="CI41" s="14">
        <v>3658.5205000000001</v>
      </c>
      <c r="CJ41" s="14">
        <v>0.05</v>
      </c>
      <c r="CK41" s="14"/>
      <c r="CL41" s="14">
        <v>0</v>
      </c>
      <c r="CM41" s="14">
        <v>0.1</v>
      </c>
      <c r="CN41" s="14">
        <v>0</v>
      </c>
      <c r="CO41" s="14">
        <v>0</v>
      </c>
      <c r="CP41" s="14">
        <v>0</v>
      </c>
      <c r="CQ41" s="14"/>
      <c r="CR41" s="14">
        <v>0</v>
      </c>
      <c r="CS41" s="14"/>
      <c r="CT41" s="14">
        <v>1500</v>
      </c>
      <c r="CU41" s="14">
        <f t="shared" si="43"/>
        <v>1500</v>
      </c>
      <c r="CV41" s="14">
        <f t="shared" si="44"/>
        <v>0</v>
      </c>
      <c r="CW41" s="14">
        <v>5601.82</v>
      </c>
      <c r="CX41" s="14">
        <f t="shared" si="31"/>
        <v>5601.82</v>
      </c>
      <c r="CY41" s="14">
        <f t="shared" si="32"/>
        <v>0</v>
      </c>
      <c r="CZ41" s="14">
        <v>1500</v>
      </c>
      <c r="DA41" s="14">
        <f t="shared" si="33"/>
        <v>1500</v>
      </c>
      <c r="DB41" s="14">
        <f t="shared" si="34"/>
        <v>0</v>
      </c>
      <c r="DC41" s="14">
        <v>9703.64</v>
      </c>
      <c r="DD41" s="14">
        <f t="shared" si="39"/>
        <v>9703.64</v>
      </c>
      <c r="DE41" s="14">
        <f t="shared" si="35"/>
        <v>0</v>
      </c>
      <c r="DF41" s="14">
        <v>106768.6</v>
      </c>
      <c r="DG41" s="14">
        <f t="shared" si="36"/>
        <v>106768.6</v>
      </c>
      <c r="DH41" s="14">
        <f t="shared" si="37"/>
        <v>0</v>
      </c>
      <c r="DI41" s="14">
        <v>8951.7000000000007</v>
      </c>
      <c r="DJ41" s="14">
        <f>IFERROR(VLOOKUP(D41,#REF!,2,0),0)</f>
        <v>0</v>
      </c>
      <c r="DK41" s="14">
        <f t="shared" si="38"/>
        <v>-8951.7000000000007</v>
      </c>
      <c r="DL41" s="14">
        <v>113870.42</v>
      </c>
      <c r="DM41" s="14">
        <v>2016993.95</v>
      </c>
      <c r="DN41" s="14">
        <v>9273.33</v>
      </c>
      <c r="DO41" s="14">
        <v>756.42</v>
      </c>
      <c r="DP41" s="14">
        <v>0</v>
      </c>
      <c r="DQ41" s="14">
        <v>112036.42</v>
      </c>
      <c r="DR41" s="14">
        <v>28</v>
      </c>
      <c r="DS41" s="14">
        <v>0</v>
      </c>
      <c r="DT41" s="5" t="s">
        <v>206</v>
      </c>
      <c r="DU41" s="5" t="s">
        <v>195</v>
      </c>
      <c r="DV41" s="5" t="s">
        <v>196</v>
      </c>
      <c r="DW41" s="5" t="s">
        <v>197</v>
      </c>
    </row>
    <row r="42" spans="1:127" ht="16.5">
      <c r="A42" s="5" t="s">
        <v>184</v>
      </c>
      <c r="B42" s="5" t="s">
        <v>147</v>
      </c>
      <c r="C42" s="5" t="s">
        <v>148</v>
      </c>
      <c r="D42" s="5" t="s">
        <v>450</v>
      </c>
      <c r="E42" s="5" t="e">
        <f>VLOOKUP(D42,#REF!,1,0)</f>
        <v>#REF!</v>
      </c>
      <c r="F42" s="5" t="s">
        <v>428</v>
      </c>
      <c r="G42" s="5" t="s">
        <v>451</v>
      </c>
      <c r="H42" s="5" t="str">
        <f t="shared" si="0"/>
        <v>Sau Kei Cheung</v>
      </c>
      <c r="I42" s="5" t="e">
        <f>VLOOKUP(D42,#REF!,9,0)</f>
        <v>#REF!</v>
      </c>
      <c r="J42" s="5" t="e">
        <f t="shared" si="1"/>
        <v>#REF!</v>
      </c>
      <c r="K42" s="5" t="s">
        <v>452</v>
      </c>
      <c r="L42" s="5" t="s">
        <v>151</v>
      </c>
      <c r="M42" s="5" t="s">
        <v>453</v>
      </c>
      <c r="N42" s="10" t="e">
        <f>VLOOKUP(D42,#REF!,80,0)</f>
        <v>#REF!</v>
      </c>
      <c r="O42" s="11" t="e">
        <f t="shared" si="11"/>
        <v>#REF!</v>
      </c>
      <c r="P42" s="5" t="s">
        <v>275</v>
      </c>
      <c r="Q42" s="5" t="e">
        <f>VLOOKUP(D42,#REF!,50,0)</f>
        <v>#REF!</v>
      </c>
      <c r="R42" s="5" t="e">
        <f t="shared" si="12"/>
        <v>#REF!</v>
      </c>
      <c r="S42" s="5" t="s">
        <v>454</v>
      </c>
      <c r="T42" s="5" t="e">
        <f>VLOOKUP(D42,#REF!,21,0)</f>
        <v>#REF!</v>
      </c>
      <c r="U42" s="5" t="e">
        <f t="shared" si="13"/>
        <v>#REF!</v>
      </c>
      <c r="V42" s="5" t="s">
        <v>277</v>
      </c>
      <c r="W42" s="5" t="e">
        <f>VLOOKUP(D42,#REF!,51,0)</f>
        <v>#REF!</v>
      </c>
      <c r="X42" s="5" t="e">
        <f t="shared" si="14"/>
        <v>#REF!</v>
      </c>
      <c r="Y42" s="5" t="s">
        <v>192</v>
      </c>
      <c r="Z42" s="5" t="s">
        <v>193</v>
      </c>
      <c r="AA42" s="14">
        <v>0.61</v>
      </c>
      <c r="AB42" s="14">
        <v>38440</v>
      </c>
      <c r="AC42" s="14" t="e">
        <f>ROUND(VLOOKUP(D42,#REF!,59,0),0)</f>
        <v>#REF!</v>
      </c>
      <c r="AD42" s="14" t="e">
        <f t="shared" si="40"/>
        <v>#REF!</v>
      </c>
      <c r="AE42" s="14">
        <v>38440</v>
      </c>
      <c r="AF42" s="14">
        <f t="shared" si="41"/>
        <v>38440</v>
      </c>
      <c r="AG42" s="14">
        <f t="shared" si="42"/>
        <v>0</v>
      </c>
      <c r="AH42" s="14">
        <v>0</v>
      </c>
      <c r="AI42" s="14"/>
      <c r="AJ42" s="14"/>
      <c r="AK42" s="14">
        <v>0</v>
      </c>
      <c r="AL42" s="14"/>
      <c r="AM42" s="14"/>
      <c r="AN42" s="14">
        <v>0</v>
      </c>
      <c r="AO42" s="14">
        <v>2500</v>
      </c>
      <c r="AP42" s="14">
        <f>IFERROR(VLOOKUP('Feb for check'!D42,#REF!,15,0),0)</f>
        <v>0</v>
      </c>
      <c r="AQ42" s="14">
        <f t="shared" si="18"/>
        <v>-2500</v>
      </c>
      <c r="AR42" s="14">
        <v>2500</v>
      </c>
      <c r="AS42" s="14">
        <f t="shared" si="19"/>
        <v>2500</v>
      </c>
      <c r="AT42" s="14">
        <f t="shared" si="20"/>
        <v>0</v>
      </c>
      <c r="AU42" s="14">
        <v>0</v>
      </c>
      <c r="AV42" s="14"/>
      <c r="AW42" s="14">
        <v>0</v>
      </c>
      <c r="AX42" s="14"/>
      <c r="AY42" s="14">
        <v>0</v>
      </c>
      <c r="AZ42" s="14"/>
      <c r="BA42" s="14">
        <v>0</v>
      </c>
      <c r="BB42" s="14">
        <f>IFERROR(VLOOKUP(D42,#REF!,2,0),0)</f>
        <v>0</v>
      </c>
      <c r="BC42" s="14" t="e">
        <f>MAX(VLOOKUP(D42,#REF!,13,0)-VLOOKUP(D42,#REF!,14,0),0)</f>
        <v>#REF!</v>
      </c>
      <c r="BD42" s="14">
        <f>IFERROR(VLOOKUP(D42,#REF!,3,0),0)</f>
        <v>0</v>
      </c>
      <c r="BE42" s="14" t="e">
        <f>MAX(VLOOKUP(D42,#REF!,22,0)-VLOOKUP(D42,#REF!,23,0),0)</f>
        <v>#REF!</v>
      </c>
      <c r="BF42" s="14" t="e">
        <f t="shared" si="21"/>
        <v>#REF!</v>
      </c>
      <c r="BG42" s="14" t="e">
        <f t="shared" si="22"/>
        <v>#REF!</v>
      </c>
      <c r="BH42" s="14">
        <v>0</v>
      </c>
      <c r="BI42" s="14"/>
      <c r="BJ42" s="14"/>
      <c r="BK42" s="14">
        <v>0</v>
      </c>
      <c r="BL42" s="14">
        <f t="shared" si="23"/>
        <v>0</v>
      </c>
      <c r="BM42" s="14">
        <f t="shared" si="24"/>
        <v>0</v>
      </c>
      <c r="BN42" s="14">
        <v>0</v>
      </c>
      <c r="BO42" s="14"/>
      <c r="BP42" s="14"/>
      <c r="BQ42" s="14"/>
      <c r="BR42" s="14">
        <v>0</v>
      </c>
      <c r="BS42" s="14"/>
      <c r="BT42" s="14">
        <v>0</v>
      </c>
      <c r="BU42" s="14"/>
      <c r="BV42" s="14">
        <v>0</v>
      </c>
      <c r="BW42" s="14"/>
      <c r="BX42" s="14">
        <v>40940</v>
      </c>
      <c r="BY42" s="14">
        <f t="shared" si="25"/>
        <v>40940</v>
      </c>
      <c r="BZ42" s="14">
        <f t="shared" si="26"/>
        <v>0</v>
      </c>
      <c r="CA42" s="14">
        <v>38440</v>
      </c>
      <c r="CB42" s="14">
        <f t="shared" si="27"/>
        <v>38440</v>
      </c>
      <c r="CC42" s="14">
        <f t="shared" si="28"/>
        <v>0</v>
      </c>
      <c r="CD42" s="14">
        <v>0</v>
      </c>
      <c r="CE42" s="14"/>
      <c r="CF42" s="14"/>
      <c r="CG42" s="14">
        <v>0</v>
      </c>
      <c r="CH42" s="14"/>
      <c r="CI42" s="14">
        <v>1345.9726000000001</v>
      </c>
      <c r="CJ42" s="14">
        <v>0</v>
      </c>
      <c r="CK42" s="14"/>
      <c r="CL42" s="14">
        <v>0</v>
      </c>
      <c r="CM42" s="14">
        <v>7.4999999999999997E-2</v>
      </c>
      <c r="CN42" s="14">
        <v>0</v>
      </c>
      <c r="CO42" s="14">
        <v>0</v>
      </c>
      <c r="CP42" s="14">
        <v>0</v>
      </c>
      <c r="CQ42" s="14"/>
      <c r="CR42" s="14">
        <v>0</v>
      </c>
      <c r="CS42" s="14"/>
      <c r="CT42" s="14">
        <v>1500</v>
      </c>
      <c r="CU42" s="14">
        <f t="shared" si="43"/>
        <v>1500</v>
      </c>
      <c r="CV42" s="14">
        <f t="shared" si="44"/>
        <v>0</v>
      </c>
      <c r="CW42" s="14">
        <v>0</v>
      </c>
      <c r="CX42" s="14">
        <f t="shared" si="31"/>
        <v>0</v>
      </c>
      <c r="CY42" s="14">
        <f t="shared" si="32"/>
        <v>0</v>
      </c>
      <c r="CZ42" s="14">
        <v>1500</v>
      </c>
      <c r="DA42" s="14">
        <f t="shared" si="33"/>
        <v>1500</v>
      </c>
      <c r="DB42" s="14">
        <f t="shared" si="34"/>
        <v>0</v>
      </c>
      <c r="DC42" s="14">
        <v>1383</v>
      </c>
      <c r="DD42" s="14">
        <f t="shared" si="39"/>
        <v>1383</v>
      </c>
      <c r="DE42" s="14">
        <f t="shared" si="35"/>
        <v>0</v>
      </c>
      <c r="DF42" s="14">
        <v>39440</v>
      </c>
      <c r="DG42" s="14">
        <f t="shared" si="36"/>
        <v>39440</v>
      </c>
      <c r="DH42" s="14">
        <f t="shared" si="37"/>
        <v>0</v>
      </c>
      <c r="DI42" s="14">
        <v>0</v>
      </c>
      <c r="DJ42" s="14">
        <f>IFERROR(VLOOKUP(D42,#REF!,2,0),0)</f>
        <v>0</v>
      </c>
      <c r="DK42" s="14">
        <f t="shared" si="38"/>
        <v>0</v>
      </c>
      <c r="DL42" s="14">
        <v>38440</v>
      </c>
      <c r="DM42" s="14">
        <v>424995.85</v>
      </c>
      <c r="DN42" s="14">
        <v>3203.33</v>
      </c>
      <c r="DO42" s="14">
        <v>0</v>
      </c>
      <c r="DP42" s="14">
        <v>0</v>
      </c>
      <c r="DQ42" s="14">
        <v>40940</v>
      </c>
      <c r="DR42" s="14">
        <v>28</v>
      </c>
      <c r="DS42" s="14">
        <v>0</v>
      </c>
      <c r="DT42" s="5" t="s">
        <v>206</v>
      </c>
      <c r="DU42" s="5" t="s">
        <v>195</v>
      </c>
      <c r="DV42" s="5" t="s">
        <v>196</v>
      </c>
      <c r="DW42" s="5" t="s">
        <v>197</v>
      </c>
    </row>
    <row r="43" spans="1:127" ht="16.5">
      <c r="A43" s="5" t="s">
        <v>184</v>
      </c>
      <c r="B43" s="5" t="s">
        <v>147</v>
      </c>
      <c r="C43" s="5" t="s">
        <v>148</v>
      </c>
      <c r="D43" s="5" t="s">
        <v>455</v>
      </c>
      <c r="E43" s="5" t="e">
        <f>VLOOKUP(D43,#REF!,1,0)</f>
        <v>#REF!</v>
      </c>
      <c r="F43" s="5" t="s">
        <v>456</v>
      </c>
      <c r="G43" s="5" t="s">
        <v>457</v>
      </c>
      <c r="H43" s="5" t="str">
        <f t="shared" si="0"/>
        <v>Kin Han Helena Ling</v>
      </c>
      <c r="I43" s="5" t="e">
        <f>VLOOKUP(D43,#REF!,9,0)</f>
        <v>#REF!</v>
      </c>
      <c r="J43" s="5" t="e">
        <f t="shared" si="1"/>
        <v>#REF!</v>
      </c>
      <c r="K43" s="5" t="s">
        <v>458</v>
      </c>
      <c r="L43" s="5" t="s">
        <v>151</v>
      </c>
      <c r="M43" s="5" t="s">
        <v>459</v>
      </c>
      <c r="N43" s="10" t="e">
        <f>VLOOKUP(D43,#REF!,80,0)</f>
        <v>#REF!</v>
      </c>
      <c r="O43" s="11" t="e">
        <f t="shared" si="11"/>
        <v>#REF!</v>
      </c>
      <c r="P43" s="5" t="s">
        <v>424</v>
      </c>
      <c r="Q43" s="5" t="e">
        <f>VLOOKUP(D43,#REF!,50,0)</f>
        <v>#REF!</v>
      </c>
      <c r="R43" s="5" t="e">
        <f t="shared" si="12"/>
        <v>#REF!</v>
      </c>
      <c r="S43" s="5" t="s">
        <v>460</v>
      </c>
      <c r="T43" s="5" t="e">
        <f>VLOOKUP(D43,#REF!,21,0)</f>
        <v>#REF!</v>
      </c>
      <c r="U43" s="5" t="e">
        <f t="shared" si="13"/>
        <v>#REF!</v>
      </c>
      <c r="V43" s="5" t="s">
        <v>426</v>
      </c>
      <c r="W43" s="5" t="e">
        <f>VLOOKUP(D43,#REF!,51,0)</f>
        <v>#REF!</v>
      </c>
      <c r="X43" s="5" t="e">
        <f t="shared" si="14"/>
        <v>#REF!</v>
      </c>
      <c r="Y43" s="5" t="s">
        <v>192</v>
      </c>
      <c r="Z43" s="5" t="s">
        <v>193</v>
      </c>
      <c r="AA43" s="14">
        <v>9.98</v>
      </c>
      <c r="AB43" s="14">
        <v>43900</v>
      </c>
      <c r="AC43" s="14" t="e">
        <f>ROUND(VLOOKUP(D43,#REF!,59,0),0)</f>
        <v>#REF!</v>
      </c>
      <c r="AD43" s="14" t="e">
        <f t="shared" si="40"/>
        <v>#REF!</v>
      </c>
      <c r="AE43" s="14">
        <v>43900</v>
      </c>
      <c r="AF43" s="14">
        <f t="shared" si="41"/>
        <v>43900</v>
      </c>
      <c r="AG43" s="14">
        <f t="shared" si="42"/>
        <v>0</v>
      </c>
      <c r="AH43" s="14">
        <v>0</v>
      </c>
      <c r="AI43" s="14"/>
      <c r="AJ43" s="14"/>
      <c r="AK43" s="14">
        <v>0</v>
      </c>
      <c r="AL43" s="14"/>
      <c r="AM43" s="14"/>
      <c r="AN43" s="14">
        <v>0</v>
      </c>
      <c r="AO43" s="14">
        <v>0</v>
      </c>
      <c r="AP43" s="14">
        <f>IFERROR(VLOOKUP('Feb for check'!D43,#REF!,15,0),0)</f>
        <v>0</v>
      </c>
      <c r="AQ43" s="14">
        <f t="shared" si="18"/>
        <v>0</v>
      </c>
      <c r="AR43" s="14">
        <v>0</v>
      </c>
      <c r="AS43" s="14">
        <f t="shared" si="19"/>
        <v>0</v>
      </c>
      <c r="AT43" s="14">
        <f t="shared" si="20"/>
        <v>0</v>
      </c>
      <c r="AU43" s="14">
        <v>0</v>
      </c>
      <c r="AV43" s="14"/>
      <c r="AW43" s="14">
        <v>0</v>
      </c>
      <c r="AX43" s="14"/>
      <c r="AY43" s="14">
        <v>0</v>
      </c>
      <c r="AZ43" s="14"/>
      <c r="BA43" s="14">
        <v>0</v>
      </c>
      <c r="BB43" s="14">
        <f>IFERROR(VLOOKUP(D43,#REF!,2,0),0)</f>
        <v>0</v>
      </c>
      <c r="BC43" s="14" t="e">
        <f>MAX(VLOOKUP(D43,#REF!,13,0)-VLOOKUP(D43,#REF!,14,0),0)</f>
        <v>#REF!</v>
      </c>
      <c r="BD43" s="14">
        <f>IFERROR(VLOOKUP(D43,#REF!,3,0),0)</f>
        <v>0</v>
      </c>
      <c r="BE43" s="14" t="e">
        <f>MAX(VLOOKUP(D43,#REF!,22,0)-VLOOKUP(D43,#REF!,23,0),0)</f>
        <v>#REF!</v>
      </c>
      <c r="BF43" s="14" t="e">
        <f t="shared" si="21"/>
        <v>#REF!</v>
      </c>
      <c r="BG43" s="14" t="e">
        <f t="shared" si="22"/>
        <v>#REF!</v>
      </c>
      <c r="BH43" s="14">
        <v>0</v>
      </c>
      <c r="BI43" s="14"/>
      <c r="BJ43" s="14"/>
      <c r="BK43" s="14">
        <v>0</v>
      </c>
      <c r="BL43" s="14">
        <f t="shared" si="23"/>
        <v>0</v>
      </c>
      <c r="BM43" s="14">
        <f t="shared" si="24"/>
        <v>0</v>
      </c>
      <c r="BN43" s="14">
        <v>0</v>
      </c>
      <c r="BO43" s="14"/>
      <c r="BP43" s="14"/>
      <c r="BQ43" s="14"/>
      <c r="BR43" s="14">
        <v>0</v>
      </c>
      <c r="BS43" s="14"/>
      <c r="BT43" s="14">
        <v>0</v>
      </c>
      <c r="BU43" s="14"/>
      <c r="BV43" s="14">
        <v>0</v>
      </c>
      <c r="BW43" s="14"/>
      <c r="BX43" s="14">
        <v>43900</v>
      </c>
      <c r="BY43" s="14">
        <f t="shared" si="25"/>
        <v>43900</v>
      </c>
      <c r="BZ43" s="14">
        <f t="shared" si="26"/>
        <v>0</v>
      </c>
      <c r="CA43" s="14">
        <v>43900</v>
      </c>
      <c r="CB43" s="14">
        <f t="shared" si="27"/>
        <v>43900</v>
      </c>
      <c r="CC43" s="14">
        <f t="shared" si="28"/>
        <v>0</v>
      </c>
      <c r="CD43" s="14">
        <v>0</v>
      </c>
      <c r="CE43" s="14"/>
      <c r="CF43" s="14"/>
      <c r="CG43" s="14">
        <v>0</v>
      </c>
      <c r="CH43" s="14"/>
      <c r="CI43" s="14">
        <v>1443.2876000000001</v>
      </c>
      <c r="CJ43" s="14">
        <v>0.01</v>
      </c>
      <c r="CK43" s="14"/>
      <c r="CL43" s="14">
        <v>0.08</v>
      </c>
      <c r="CM43" s="14">
        <v>0.08</v>
      </c>
      <c r="CN43" s="14">
        <v>0</v>
      </c>
      <c r="CO43" s="14">
        <v>0</v>
      </c>
      <c r="CP43" s="14">
        <v>0</v>
      </c>
      <c r="CQ43" s="14"/>
      <c r="CR43" s="14">
        <v>0</v>
      </c>
      <c r="CS43" s="14"/>
      <c r="CT43" s="14">
        <v>1500</v>
      </c>
      <c r="CU43" s="14">
        <f t="shared" si="43"/>
        <v>1500</v>
      </c>
      <c r="CV43" s="14">
        <f t="shared" si="44"/>
        <v>0</v>
      </c>
      <c r="CW43" s="14">
        <v>439</v>
      </c>
      <c r="CX43" s="14">
        <f t="shared" si="31"/>
        <v>439</v>
      </c>
      <c r="CY43" s="14">
        <f t="shared" si="32"/>
        <v>0</v>
      </c>
      <c r="CZ43" s="14">
        <v>1500</v>
      </c>
      <c r="DA43" s="14">
        <f t="shared" si="33"/>
        <v>1500</v>
      </c>
      <c r="DB43" s="14">
        <f t="shared" si="34"/>
        <v>0</v>
      </c>
      <c r="DC43" s="14">
        <v>2012</v>
      </c>
      <c r="DD43" s="14">
        <f t="shared" si="39"/>
        <v>2012</v>
      </c>
      <c r="DE43" s="14">
        <f t="shared" si="35"/>
        <v>0</v>
      </c>
      <c r="DF43" s="14">
        <v>41961</v>
      </c>
      <c r="DG43" s="14">
        <f t="shared" si="36"/>
        <v>41961</v>
      </c>
      <c r="DH43" s="14">
        <f t="shared" si="37"/>
        <v>0</v>
      </c>
      <c r="DI43" s="14">
        <v>0</v>
      </c>
      <c r="DJ43" s="14">
        <f>IFERROR(VLOOKUP(D43,#REF!,2,0),0)</f>
        <v>0</v>
      </c>
      <c r="DK43" s="14">
        <f t="shared" si="38"/>
        <v>0</v>
      </c>
      <c r="DL43" s="14">
        <v>43900</v>
      </c>
      <c r="DM43" s="14">
        <v>692888.35</v>
      </c>
      <c r="DN43" s="14">
        <v>3658.33</v>
      </c>
      <c r="DO43" s="14">
        <v>0</v>
      </c>
      <c r="DP43" s="14">
        <v>0</v>
      </c>
      <c r="DQ43" s="14">
        <v>43900</v>
      </c>
      <c r="DR43" s="14">
        <v>28</v>
      </c>
      <c r="DS43" s="14">
        <v>0</v>
      </c>
      <c r="DT43" s="5" t="s">
        <v>206</v>
      </c>
      <c r="DU43" s="5" t="s">
        <v>195</v>
      </c>
      <c r="DV43" s="5" t="s">
        <v>196</v>
      </c>
      <c r="DW43" s="5" t="s">
        <v>197</v>
      </c>
    </row>
    <row r="44" spans="1:127" ht="16.5">
      <c r="A44" s="5" t="s">
        <v>184</v>
      </c>
      <c r="B44" s="5" t="s">
        <v>147</v>
      </c>
      <c r="C44" s="5" t="s">
        <v>148</v>
      </c>
      <c r="D44" s="5" t="s">
        <v>461</v>
      </c>
      <c r="E44" s="5" t="e">
        <f>VLOOKUP(D44,#REF!,1,0)</f>
        <v>#REF!</v>
      </c>
      <c r="F44" s="5" t="s">
        <v>462</v>
      </c>
      <c r="G44" s="5" t="s">
        <v>463</v>
      </c>
      <c r="H44" s="5" t="str">
        <f t="shared" si="0"/>
        <v>Tak Kar Yuen</v>
      </c>
      <c r="I44" s="5" t="e">
        <f>VLOOKUP(D44,#REF!,9,0)</f>
        <v>#REF!</v>
      </c>
      <c r="J44" s="5" t="e">
        <f t="shared" si="1"/>
        <v>#REF!</v>
      </c>
      <c r="K44" s="5" t="s">
        <v>464</v>
      </c>
      <c r="L44" s="5" t="s">
        <v>151</v>
      </c>
      <c r="M44" s="5" t="s">
        <v>465</v>
      </c>
      <c r="N44" s="10" t="e">
        <f>VLOOKUP(D44,#REF!,80,0)</f>
        <v>#REF!</v>
      </c>
      <c r="O44" s="11" t="e">
        <f t="shared" si="11"/>
        <v>#REF!</v>
      </c>
      <c r="P44" s="5" t="s">
        <v>402</v>
      </c>
      <c r="Q44" s="5" t="e">
        <f>VLOOKUP(D44,#REF!,50,0)</f>
        <v>#REF!</v>
      </c>
      <c r="R44" s="5" t="e">
        <f t="shared" si="12"/>
        <v>#REF!</v>
      </c>
      <c r="S44" s="5" t="s">
        <v>403</v>
      </c>
      <c r="T44" s="5" t="e">
        <f>VLOOKUP(D44,#REF!,21,0)</f>
        <v>#REF!</v>
      </c>
      <c r="U44" s="5" t="e">
        <f t="shared" si="13"/>
        <v>#REF!</v>
      </c>
      <c r="V44" s="5" t="s">
        <v>404</v>
      </c>
      <c r="W44" s="5" t="e">
        <f>VLOOKUP(D44,#REF!,51,0)</f>
        <v>#REF!</v>
      </c>
      <c r="X44" s="5" t="e">
        <f t="shared" si="14"/>
        <v>#REF!</v>
      </c>
      <c r="Y44" s="5" t="s">
        <v>192</v>
      </c>
      <c r="Z44" s="5" t="s">
        <v>193</v>
      </c>
      <c r="AA44" s="14">
        <v>4.6900000000000004</v>
      </c>
      <c r="AB44" s="14">
        <v>26210</v>
      </c>
      <c r="AC44" s="14" t="e">
        <f>ROUND(VLOOKUP(D44,#REF!,59,0),0)</f>
        <v>#REF!</v>
      </c>
      <c r="AD44" s="14" t="e">
        <f t="shared" si="40"/>
        <v>#REF!</v>
      </c>
      <c r="AE44" s="14">
        <v>26210</v>
      </c>
      <c r="AF44" s="14">
        <f t="shared" si="41"/>
        <v>26210</v>
      </c>
      <c r="AG44" s="14">
        <f t="shared" si="42"/>
        <v>0</v>
      </c>
      <c r="AH44" s="14">
        <v>0</v>
      </c>
      <c r="AI44" s="14"/>
      <c r="AJ44" s="14"/>
      <c r="AK44" s="14">
        <v>0</v>
      </c>
      <c r="AL44" s="14"/>
      <c r="AM44" s="14"/>
      <c r="AN44" s="14">
        <v>0</v>
      </c>
      <c r="AO44" s="14">
        <v>0</v>
      </c>
      <c r="AP44" s="14">
        <f>IFERROR(VLOOKUP('Feb for check'!D44,#REF!,15,0),0)</f>
        <v>0</v>
      </c>
      <c r="AQ44" s="14">
        <f t="shared" si="18"/>
        <v>0</v>
      </c>
      <c r="AR44" s="14">
        <v>0</v>
      </c>
      <c r="AS44" s="14">
        <f t="shared" si="19"/>
        <v>0</v>
      </c>
      <c r="AT44" s="14">
        <f t="shared" si="20"/>
        <v>0</v>
      </c>
      <c r="AU44" s="14">
        <v>0</v>
      </c>
      <c r="AV44" s="14"/>
      <c r="AW44" s="14">
        <v>0</v>
      </c>
      <c r="AX44" s="14"/>
      <c r="AY44" s="14">
        <v>0</v>
      </c>
      <c r="AZ44" s="14"/>
      <c r="BA44" s="14">
        <v>117.65</v>
      </c>
      <c r="BB44" s="14">
        <f>IFERROR(VLOOKUP(D44,#REF!,2,0),0)</f>
        <v>0</v>
      </c>
      <c r="BC44" s="14" t="e">
        <f>MAX(VLOOKUP(D44,#REF!,13,0)-VLOOKUP(D44,#REF!,14,0),0)</f>
        <v>#REF!</v>
      </c>
      <c r="BD44" s="14">
        <f>IFERROR(VLOOKUP(D44,#REF!,3,0),0)</f>
        <v>0</v>
      </c>
      <c r="BE44" s="14" t="e">
        <f>MAX(VLOOKUP(D44,#REF!,22,0)-VLOOKUP(D44,#REF!,23,0),0)</f>
        <v>#REF!</v>
      </c>
      <c r="BF44" s="14" t="e">
        <f t="shared" si="21"/>
        <v>#REF!</v>
      </c>
      <c r="BG44" s="14" t="e">
        <f t="shared" si="22"/>
        <v>#REF!</v>
      </c>
      <c r="BH44" s="14">
        <v>0</v>
      </c>
      <c r="BI44" s="14"/>
      <c r="BJ44" s="14"/>
      <c r="BK44" s="14">
        <v>0</v>
      </c>
      <c r="BL44" s="14">
        <f t="shared" si="23"/>
        <v>0</v>
      </c>
      <c r="BM44" s="14">
        <f t="shared" si="24"/>
        <v>0</v>
      </c>
      <c r="BN44" s="14">
        <v>0</v>
      </c>
      <c r="BO44" s="14"/>
      <c r="BP44" s="14"/>
      <c r="BQ44" s="14"/>
      <c r="BR44" s="14">
        <v>0</v>
      </c>
      <c r="BS44" s="14"/>
      <c r="BT44" s="14">
        <v>0</v>
      </c>
      <c r="BU44" s="14"/>
      <c r="BV44" s="14">
        <v>0</v>
      </c>
      <c r="BW44" s="14"/>
      <c r="BX44" s="14">
        <v>26327.65</v>
      </c>
      <c r="BY44" s="14">
        <f t="shared" si="25"/>
        <v>26327.65</v>
      </c>
      <c r="BZ44" s="14">
        <f t="shared" si="26"/>
        <v>0</v>
      </c>
      <c r="CA44" s="14">
        <v>26327.65</v>
      </c>
      <c r="CB44" s="14">
        <f t="shared" si="27"/>
        <v>26327.65</v>
      </c>
      <c r="CC44" s="14">
        <f t="shared" si="28"/>
        <v>0</v>
      </c>
      <c r="CD44" s="14">
        <v>0</v>
      </c>
      <c r="CE44" s="14"/>
      <c r="CF44" s="14"/>
      <c r="CG44" s="14">
        <v>0</v>
      </c>
      <c r="CH44" s="14"/>
      <c r="CI44" s="14">
        <v>861.69860000000006</v>
      </c>
      <c r="CJ44" s="14">
        <v>0</v>
      </c>
      <c r="CK44" s="14"/>
      <c r="CL44" s="14">
        <v>0</v>
      </c>
      <c r="CM44" s="14">
        <v>7.4999999999999997E-2</v>
      </c>
      <c r="CN44" s="14">
        <v>0</v>
      </c>
      <c r="CO44" s="14">
        <v>0</v>
      </c>
      <c r="CP44" s="14">
        <v>0</v>
      </c>
      <c r="CQ44" s="14"/>
      <c r="CR44" s="14">
        <v>0</v>
      </c>
      <c r="CS44" s="14"/>
      <c r="CT44" s="14">
        <v>1316.38</v>
      </c>
      <c r="CU44" s="14">
        <f t="shared" si="43"/>
        <v>1316.3825000000002</v>
      </c>
      <c r="CV44" s="14">
        <f t="shared" si="44"/>
        <v>2.5000000000545697E-3</v>
      </c>
      <c r="CW44" s="14">
        <v>0</v>
      </c>
      <c r="CX44" s="14">
        <f t="shared" si="31"/>
        <v>0</v>
      </c>
      <c r="CY44" s="14">
        <f t="shared" si="32"/>
        <v>0</v>
      </c>
      <c r="CZ44" s="14">
        <v>1316.38</v>
      </c>
      <c r="DA44" s="14">
        <f t="shared" si="33"/>
        <v>1316.3825000000002</v>
      </c>
      <c r="DB44" s="14">
        <f t="shared" si="34"/>
        <v>2.5000000000545697E-3</v>
      </c>
      <c r="DC44" s="14">
        <v>658.19</v>
      </c>
      <c r="DD44" s="14">
        <f t="shared" si="39"/>
        <v>658.19</v>
      </c>
      <c r="DE44" s="14">
        <f t="shared" si="35"/>
        <v>0</v>
      </c>
      <c r="DF44" s="14">
        <v>25011.27</v>
      </c>
      <c r="DG44" s="14">
        <f t="shared" si="36"/>
        <v>25011.27</v>
      </c>
      <c r="DH44" s="14">
        <f t="shared" si="37"/>
        <v>0</v>
      </c>
      <c r="DI44" s="14">
        <v>0</v>
      </c>
      <c r="DJ44" s="14">
        <f>IFERROR(VLOOKUP(D44,#REF!,2,0),0)</f>
        <v>0</v>
      </c>
      <c r="DK44" s="14">
        <f t="shared" si="38"/>
        <v>0</v>
      </c>
      <c r="DL44" s="14">
        <v>26327.65</v>
      </c>
      <c r="DM44" s="14">
        <v>391837.67</v>
      </c>
      <c r="DN44" s="14">
        <v>2184.17</v>
      </c>
      <c r="DO44" s="14">
        <v>117.65</v>
      </c>
      <c r="DP44" s="14">
        <v>0</v>
      </c>
      <c r="DQ44" s="14">
        <v>26327.65</v>
      </c>
      <c r="DR44" s="14">
        <v>28</v>
      </c>
      <c r="DS44" s="14">
        <v>0</v>
      </c>
      <c r="DT44" s="5" t="s">
        <v>206</v>
      </c>
      <c r="DU44" s="5" t="s">
        <v>195</v>
      </c>
      <c r="DV44" s="5" t="s">
        <v>196</v>
      </c>
      <c r="DW44" s="5" t="s">
        <v>197</v>
      </c>
    </row>
    <row r="45" spans="1:127" ht="16.5">
      <c r="A45" s="5" t="s">
        <v>184</v>
      </c>
      <c r="B45" s="5" t="s">
        <v>147</v>
      </c>
      <c r="C45" s="5" t="s">
        <v>148</v>
      </c>
      <c r="D45" s="5" t="s">
        <v>466</v>
      </c>
      <c r="E45" s="5" t="e">
        <f>VLOOKUP(D45,#REF!,1,0)</f>
        <v>#REF!</v>
      </c>
      <c r="F45" s="5" t="s">
        <v>467</v>
      </c>
      <c r="G45" s="5" t="s">
        <v>468</v>
      </c>
      <c r="H45" s="5" t="str">
        <f t="shared" si="0"/>
        <v>Siu Lun Tai</v>
      </c>
      <c r="I45" s="5" t="e">
        <f>VLOOKUP(D45,#REF!,9,0)</f>
        <v>#REF!</v>
      </c>
      <c r="J45" s="5" t="e">
        <f t="shared" si="1"/>
        <v>#REF!</v>
      </c>
      <c r="K45" s="5" t="s">
        <v>469</v>
      </c>
      <c r="L45" s="5" t="s">
        <v>151</v>
      </c>
      <c r="M45" s="5" t="s">
        <v>470</v>
      </c>
      <c r="N45" s="10" t="e">
        <f>VLOOKUP(D45,#REF!,80,0)</f>
        <v>#REF!</v>
      </c>
      <c r="O45" s="11" t="e">
        <f t="shared" si="11"/>
        <v>#REF!</v>
      </c>
      <c r="P45" s="5" t="s">
        <v>471</v>
      </c>
      <c r="Q45" s="5" t="e">
        <f>VLOOKUP(D45,#REF!,50,0)</f>
        <v>#REF!</v>
      </c>
      <c r="R45" s="5" t="e">
        <f t="shared" si="12"/>
        <v>#REF!</v>
      </c>
      <c r="S45" s="5" t="s">
        <v>472</v>
      </c>
      <c r="T45" s="5" t="e">
        <f>VLOOKUP(D45,#REF!,21,0)</f>
        <v>#REF!</v>
      </c>
      <c r="U45" s="5" t="e">
        <f t="shared" si="13"/>
        <v>#REF!</v>
      </c>
      <c r="V45" s="5" t="s">
        <v>473</v>
      </c>
      <c r="W45" s="5" t="e">
        <f>VLOOKUP(D45,#REF!,51,0)</f>
        <v>#REF!</v>
      </c>
      <c r="X45" s="5" t="e">
        <f t="shared" si="14"/>
        <v>#REF!</v>
      </c>
      <c r="Y45" s="5" t="s">
        <v>192</v>
      </c>
      <c r="Z45" s="5" t="s">
        <v>193</v>
      </c>
      <c r="AA45" s="14">
        <v>7.3</v>
      </c>
      <c r="AB45" s="14">
        <v>66546</v>
      </c>
      <c r="AC45" s="14" t="e">
        <f>ROUND(VLOOKUP(D45,#REF!,59,0),0)</f>
        <v>#REF!</v>
      </c>
      <c r="AD45" s="14" t="e">
        <f t="shared" si="40"/>
        <v>#REF!</v>
      </c>
      <c r="AE45" s="14">
        <v>66546</v>
      </c>
      <c r="AF45" s="14">
        <f t="shared" si="41"/>
        <v>66546</v>
      </c>
      <c r="AG45" s="14">
        <f t="shared" si="42"/>
        <v>0</v>
      </c>
      <c r="AH45" s="14">
        <v>0</v>
      </c>
      <c r="AI45" s="14"/>
      <c r="AJ45" s="14"/>
      <c r="AK45" s="14">
        <v>0</v>
      </c>
      <c r="AL45" s="14"/>
      <c r="AM45" s="14"/>
      <c r="AN45" s="14">
        <v>0</v>
      </c>
      <c r="AO45" s="14">
        <v>0</v>
      </c>
      <c r="AP45" s="14">
        <f>IFERROR(VLOOKUP('Feb for check'!D45,#REF!,15,0),0)</f>
        <v>0</v>
      </c>
      <c r="AQ45" s="14">
        <f t="shared" si="18"/>
        <v>0</v>
      </c>
      <c r="AR45" s="14">
        <v>0</v>
      </c>
      <c r="AS45" s="14">
        <f t="shared" si="19"/>
        <v>0</v>
      </c>
      <c r="AT45" s="14">
        <f t="shared" si="20"/>
        <v>0</v>
      </c>
      <c r="AU45" s="14">
        <v>0</v>
      </c>
      <c r="AV45" s="14"/>
      <c r="AW45" s="14">
        <v>0</v>
      </c>
      <c r="AX45" s="14"/>
      <c r="AY45" s="14">
        <v>0</v>
      </c>
      <c r="AZ45" s="14"/>
      <c r="BA45" s="14">
        <v>4372</v>
      </c>
      <c r="BB45" s="14">
        <f>IFERROR(VLOOKUP(D45,#REF!,2,0),0)</f>
        <v>0</v>
      </c>
      <c r="BC45" s="14" t="e">
        <f>MAX(VLOOKUP(D45,#REF!,13,0)-VLOOKUP(D45,#REF!,14,0),0)</f>
        <v>#REF!</v>
      </c>
      <c r="BD45" s="14">
        <f>IFERROR(VLOOKUP(D45,#REF!,3,0),0)</f>
        <v>0</v>
      </c>
      <c r="BE45" s="14" t="e">
        <f>MAX(VLOOKUP(D45,#REF!,22,0)-VLOOKUP(D45,#REF!,23,0),0)</f>
        <v>#REF!</v>
      </c>
      <c r="BF45" s="14" t="e">
        <f t="shared" si="21"/>
        <v>#REF!</v>
      </c>
      <c r="BG45" s="14" t="e">
        <f t="shared" si="22"/>
        <v>#REF!</v>
      </c>
      <c r="BH45" s="14">
        <v>0</v>
      </c>
      <c r="BI45" s="14"/>
      <c r="BJ45" s="14"/>
      <c r="BK45" s="14">
        <v>55</v>
      </c>
      <c r="BL45" s="14">
        <f t="shared" si="23"/>
        <v>55</v>
      </c>
      <c r="BM45" s="14">
        <f t="shared" si="24"/>
        <v>0</v>
      </c>
      <c r="BN45" s="14">
        <v>0</v>
      </c>
      <c r="BO45" s="14"/>
      <c r="BP45" s="14"/>
      <c r="BQ45" s="14"/>
      <c r="BR45" s="14">
        <v>0</v>
      </c>
      <c r="BS45" s="14"/>
      <c r="BT45" s="14">
        <v>0</v>
      </c>
      <c r="BU45" s="14"/>
      <c r="BV45" s="14">
        <v>0</v>
      </c>
      <c r="BW45" s="14"/>
      <c r="BX45" s="14">
        <v>70973</v>
      </c>
      <c r="BY45" s="14">
        <f t="shared" si="25"/>
        <v>70973</v>
      </c>
      <c r="BZ45" s="14">
        <f t="shared" si="26"/>
        <v>0</v>
      </c>
      <c r="CA45" s="14">
        <v>70918</v>
      </c>
      <c r="CB45" s="14">
        <f t="shared" si="27"/>
        <v>70918</v>
      </c>
      <c r="CC45" s="14">
        <f t="shared" si="28"/>
        <v>0</v>
      </c>
      <c r="CD45" s="14">
        <v>0</v>
      </c>
      <c r="CE45" s="14"/>
      <c r="CF45" s="14"/>
      <c r="CG45" s="14">
        <v>0</v>
      </c>
      <c r="CH45" s="14"/>
      <c r="CI45" s="14">
        <v>2187.8136</v>
      </c>
      <c r="CJ45" s="14">
        <v>0</v>
      </c>
      <c r="CK45" s="14"/>
      <c r="CL45" s="14">
        <v>0</v>
      </c>
      <c r="CM45" s="14">
        <v>7.4999999999999997E-2</v>
      </c>
      <c r="CN45" s="14">
        <v>0</v>
      </c>
      <c r="CO45" s="14">
        <v>0</v>
      </c>
      <c r="CP45" s="14">
        <v>0</v>
      </c>
      <c r="CQ45" s="14"/>
      <c r="CR45" s="14">
        <v>0</v>
      </c>
      <c r="CS45" s="14"/>
      <c r="CT45" s="14">
        <v>1500</v>
      </c>
      <c r="CU45" s="14">
        <f t="shared" si="43"/>
        <v>1500</v>
      </c>
      <c r="CV45" s="14">
        <f t="shared" si="44"/>
        <v>0</v>
      </c>
      <c r="CW45" s="14">
        <v>0</v>
      </c>
      <c r="CX45" s="14">
        <f t="shared" si="31"/>
        <v>0</v>
      </c>
      <c r="CY45" s="14">
        <f t="shared" si="32"/>
        <v>0</v>
      </c>
      <c r="CZ45" s="14">
        <v>1500</v>
      </c>
      <c r="DA45" s="14">
        <f t="shared" si="33"/>
        <v>1500</v>
      </c>
      <c r="DB45" s="14">
        <f t="shared" si="34"/>
        <v>0</v>
      </c>
      <c r="DC45" s="14">
        <v>3818.85</v>
      </c>
      <c r="DD45" s="14">
        <f t="shared" si="39"/>
        <v>3818.85</v>
      </c>
      <c r="DE45" s="14">
        <f t="shared" si="35"/>
        <v>0</v>
      </c>
      <c r="DF45" s="14">
        <v>69473</v>
      </c>
      <c r="DG45" s="14">
        <f t="shared" si="36"/>
        <v>69473</v>
      </c>
      <c r="DH45" s="14">
        <f t="shared" si="37"/>
        <v>0</v>
      </c>
      <c r="DI45" s="14">
        <v>268.10000000000002</v>
      </c>
      <c r="DJ45" s="14">
        <f>IFERROR(VLOOKUP(D45,#REF!,2,0),0)</f>
        <v>0</v>
      </c>
      <c r="DK45" s="14">
        <f t="shared" si="38"/>
        <v>-268.10000000000002</v>
      </c>
      <c r="DL45" s="14">
        <v>70973</v>
      </c>
      <c r="DM45" s="14">
        <v>1192372.6100000001</v>
      </c>
      <c r="DN45" s="14">
        <v>5545.5</v>
      </c>
      <c r="DO45" s="14">
        <v>4372</v>
      </c>
      <c r="DP45" s="14">
        <v>0</v>
      </c>
      <c r="DQ45" s="14">
        <v>70918</v>
      </c>
      <c r="DR45" s="14">
        <v>28</v>
      </c>
      <c r="DS45" s="14">
        <v>0</v>
      </c>
      <c r="DT45" s="5" t="s">
        <v>206</v>
      </c>
      <c r="DU45" s="5" t="s">
        <v>195</v>
      </c>
      <c r="DV45" s="5" t="s">
        <v>196</v>
      </c>
      <c r="DW45" s="5" t="s">
        <v>197</v>
      </c>
    </row>
    <row r="46" spans="1:127" ht="16.5">
      <c r="A46" s="5" t="s">
        <v>184</v>
      </c>
      <c r="B46" s="5" t="s">
        <v>147</v>
      </c>
      <c r="C46" s="5" t="s">
        <v>148</v>
      </c>
      <c r="D46" s="5" t="s">
        <v>474</v>
      </c>
      <c r="E46" s="5" t="e">
        <f>VLOOKUP(D46,#REF!,1,0)</f>
        <v>#REF!</v>
      </c>
      <c r="F46" s="5" t="s">
        <v>475</v>
      </c>
      <c r="G46" s="5" t="s">
        <v>476</v>
      </c>
      <c r="H46" s="5" t="str">
        <f t="shared" si="0"/>
        <v>Hoi Lam Ngan</v>
      </c>
      <c r="I46" s="5" t="e">
        <f>VLOOKUP(D46,#REF!,9,0)</f>
        <v>#REF!</v>
      </c>
      <c r="J46" s="5" t="e">
        <f t="shared" si="1"/>
        <v>#REF!</v>
      </c>
      <c r="K46" s="5" t="s">
        <v>477</v>
      </c>
      <c r="L46" s="5" t="s">
        <v>151</v>
      </c>
      <c r="M46" s="5" t="s">
        <v>478</v>
      </c>
      <c r="N46" s="10" t="e">
        <f>VLOOKUP(D46,#REF!,80,0)</f>
        <v>#REF!</v>
      </c>
      <c r="O46" s="11" t="e">
        <f t="shared" si="11"/>
        <v>#REF!</v>
      </c>
      <c r="P46" s="5" t="s">
        <v>479</v>
      </c>
      <c r="Q46" s="5" t="e">
        <f>VLOOKUP(D46,#REF!,50,0)</f>
        <v>#REF!</v>
      </c>
      <c r="R46" s="5" t="e">
        <f t="shared" si="12"/>
        <v>#REF!</v>
      </c>
      <c r="S46" s="5" t="s">
        <v>480</v>
      </c>
      <c r="T46" s="5" t="e">
        <f>VLOOKUP(D46,#REF!,21,0)</f>
        <v>#REF!</v>
      </c>
      <c r="U46" s="5" t="e">
        <f t="shared" si="13"/>
        <v>#REF!</v>
      </c>
      <c r="V46" s="5" t="s">
        <v>481</v>
      </c>
      <c r="W46" s="5" t="e">
        <f>VLOOKUP(D46,#REF!,51,0)</f>
        <v>#REF!</v>
      </c>
      <c r="X46" s="5" t="e">
        <f t="shared" si="14"/>
        <v>#REF!</v>
      </c>
      <c r="Y46" s="5" t="s">
        <v>192</v>
      </c>
      <c r="Z46" s="5" t="s">
        <v>193</v>
      </c>
      <c r="AA46" s="14">
        <v>2.4500000000000002</v>
      </c>
      <c r="AB46" s="14">
        <v>48672</v>
      </c>
      <c r="AC46" s="14" t="e">
        <f>ROUND(VLOOKUP(D46,#REF!,59,0),0)</f>
        <v>#REF!</v>
      </c>
      <c r="AD46" s="14" t="e">
        <f t="shared" si="40"/>
        <v>#REF!</v>
      </c>
      <c r="AE46" s="14">
        <v>48672</v>
      </c>
      <c r="AF46" s="14">
        <f t="shared" si="41"/>
        <v>48672</v>
      </c>
      <c r="AG46" s="14">
        <f t="shared" si="42"/>
        <v>0</v>
      </c>
      <c r="AH46" s="14">
        <v>0</v>
      </c>
      <c r="AI46" s="14"/>
      <c r="AJ46" s="14"/>
      <c r="AK46" s="14">
        <v>0</v>
      </c>
      <c r="AL46" s="14"/>
      <c r="AM46" s="14"/>
      <c r="AN46" s="14">
        <v>0</v>
      </c>
      <c r="AO46" s="14">
        <v>0</v>
      </c>
      <c r="AP46" s="14">
        <f>IFERROR(VLOOKUP('Feb for check'!D46,#REF!,15,0),0)</f>
        <v>0</v>
      </c>
      <c r="AQ46" s="14">
        <f t="shared" si="18"/>
        <v>0</v>
      </c>
      <c r="AR46" s="14">
        <v>0</v>
      </c>
      <c r="AS46" s="14">
        <f t="shared" si="19"/>
        <v>0</v>
      </c>
      <c r="AT46" s="14">
        <f t="shared" si="20"/>
        <v>0</v>
      </c>
      <c r="AU46" s="14">
        <v>0</v>
      </c>
      <c r="AV46" s="14"/>
      <c r="AW46" s="14">
        <v>0</v>
      </c>
      <c r="AX46" s="14"/>
      <c r="AY46" s="14">
        <v>0</v>
      </c>
      <c r="AZ46" s="14"/>
      <c r="BA46" s="14">
        <v>0</v>
      </c>
      <c r="BB46" s="14">
        <f>IFERROR(VLOOKUP(D46,#REF!,2,0),0)</f>
        <v>0</v>
      </c>
      <c r="BC46" s="14" t="e">
        <f>MAX(VLOOKUP(D46,#REF!,13,0)-VLOOKUP(D46,#REF!,14,0),0)</f>
        <v>#REF!</v>
      </c>
      <c r="BD46" s="14">
        <f>IFERROR(VLOOKUP(D46,#REF!,3,0),0)</f>
        <v>0</v>
      </c>
      <c r="BE46" s="14" t="e">
        <f>MAX(VLOOKUP(D46,#REF!,22,0)-VLOOKUP(D46,#REF!,23,0),0)</f>
        <v>#REF!</v>
      </c>
      <c r="BF46" s="14" t="e">
        <f t="shared" si="21"/>
        <v>#REF!</v>
      </c>
      <c r="BG46" s="14" t="e">
        <f t="shared" si="22"/>
        <v>#REF!</v>
      </c>
      <c r="BH46" s="14">
        <v>0</v>
      </c>
      <c r="BI46" s="14"/>
      <c r="BJ46" s="14"/>
      <c r="BK46" s="14">
        <v>0</v>
      </c>
      <c r="BL46" s="14">
        <f t="shared" si="23"/>
        <v>0</v>
      </c>
      <c r="BM46" s="14">
        <f t="shared" si="24"/>
        <v>0</v>
      </c>
      <c r="BN46" s="14">
        <v>0</v>
      </c>
      <c r="BO46" s="14"/>
      <c r="BP46" s="14"/>
      <c r="BQ46" s="14"/>
      <c r="BR46" s="14">
        <v>0</v>
      </c>
      <c r="BS46" s="14"/>
      <c r="BT46" s="14">
        <v>0</v>
      </c>
      <c r="BU46" s="14"/>
      <c r="BV46" s="14">
        <v>0</v>
      </c>
      <c r="BW46" s="14"/>
      <c r="BX46" s="14">
        <v>48672</v>
      </c>
      <c r="BY46" s="14">
        <f t="shared" si="25"/>
        <v>48672</v>
      </c>
      <c r="BZ46" s="14">
        <f t="shared" si="26"/>
        <v>0</v>
      </c>
      <c r="CA46" s="14">
        <v>48672</v>
      </c>
      <c r="CB46" s="14">
        <f t="shared" si="27"/>
        <v>48672</v>
      </c>
      <c r="CC46" s="14">
        <f t="shared" si="28"/>
        <v>0</v>
      </c>
      <c r="CD46" s="14">
        <v>0</v>
      </c>
      <c r="CE46" s="14"/>
      <c r="CF46" s="14"/>
      <c r="CG46" s="14">
        <v>0</v>
      </c>
      <c r="CH46" s="14"/>
      <c r="CI46" s="14">
        <v>1600.1753000000001</v>
      </c>
      <c r="CJ46" s="14">
        <v>0</v>
      </c>
      <c r="CK46" s="14"/>
      <c r="CL46" s="14">
        <v>0</v>
      </c>
      <c r="CM46" s="14">
        <v>7.4999999999999997E-2</v>
      </c>
      <c r="CN46" s="14">
        <v>0</v>
      </c>
      <c r="CO46" s="14">
        <v>0</v>
      </c>
      <c r="CP46" s="14">
        <v>0</v>
      </c>
      <c r="CQ46" s="14"/>
      <c r="CR46" s="14">
        <v>0</v>
      </c>
      <c r="CS46" s="14"/>
      <c r="CT46" s="14">
        <v>1500</v>
      </c>
      <c r="CU46" s="14">
        <f t="shared" si="43"/>
        <v>1500</v>
      </c>
      <c r="CV46" s="14">
        <f t="shared" si="44"/>
        <v>0</v>
      </c>
      <c r="CW46" s="14">
        <v>0</v>
      </c>
      <c r="CX46" s="14">
        <f t="shared" si="31"/>
        <v>0</v>
      </c>
      <c r="CY46" s="14">
        <f t="shared" si="32"/>
        <v>0</v>
      </c>
      <c r="CZ46" s="14">
        <v>1500</v>
      </c>
      <c r="DA46" s="14">
        <f t="shared" si="33"/>
        <v>1500</v>
      </c>
      <c r="DB46" s="14">
        <f t="shared" si="34"/>
        <v>0</v>
      </c>
      <c r="DC46" s="14">
        <v>2150.4</v>
      </c>
      <c r="DD46" s="14">
        <f t="shared" si="39"/>
        <v>2150.4</v>
      </c>
      <c r="DE46" s="14">
        <f t="shared" si="35"/>
        <v>0</v>
      </c>
      <c r="DF46" s="14">
        <v>47172</v>
      </c>
      <c r="DG46" s="14">
        <f t="shared" si="36"/>
        <v>47172</v>
      </c>
      <c r="DH46" s="14">
        <f t="shared" si="37"/>
        <v>0</v>
      </c>
      <c r="DI46" s="14">
        <v>0</v>
      </c>
      <c r="DJ46" s="14">
        <f>IFERROR(VLOOKUP(D46,#REF!,2,0),0)</f>
        <v>0</v>
      </c>
      <c r="DK46" s="14">
        <f t="shared" si="38"/>
        <v>0</v>
      </c>
      <c r="DL46" s="14">
        <v>48672</v>
      </c>
      <c r="DM46" s="14">
        <v>832758.82</v>
      </c>
      <c r="DN46" s="14">
        <v>4056</v>
      </c>
      <c r="DO46" s="14">
        <v>0</v>
      </c>
      <c r="DP46" s="14">
        <v>0</v>
      </c>
      <c r="DQ46" s="14">
        <v>48672</v>
      </c>
      <c r="DR46" s="14">
        <v>28</v>
      </c>
      <c r="DS46" s="14">
        <v>0</v>
      </c>
      <c r="DT46" s="5" t="s">
        <v>206</v>
      </c>
      <c r="DU46" s="5" t="s">
        <v>195</v>
      </c>
      <c r="DV46" s="5" t="s">
        <v>196</v>
      </c>
      <c r="DW46" s="5" t="s">
        <v>197</v>
      </c>
    </row>
    <row r="47" spans="1:127" ht="16.5">
      <c r="A47" s="5" t="s">
        <v>184</v>
      </c>
      <c r="B47" s="5" t="s">
        <v>147</v>
      </c>
      <c r="C47" s="5" t="s">
        <v>148</v>
      </c>
      <c r="D47" s="5" t="s">
        <v>482</v>
      </c>
      <c r="E47" s="5" t="e">
        <f>VLOOKUP(D47,#REF!,1,0)</f>
        <v>#REF!</v>
      </c>
      <c r="F47" s="5" t="s">
        <v>369</v>
      </c>
      <c r="G47" s="5" t="s">
        <v>483</v>
      </c>
      <c r="H47" s="5" t="str">
        <f t="shared" si="0"/>
        <v>Hiu Yan Chan</v>
      </c>
      <c r="I47" s="5" t="e">
        <f>VLOOKUP(D47,#REF!,9,0)</f>
        <v>#REF!</v>
      </c>
      <c r="J47" s="5" t="e">
        <f t="shared" si="1"/>
        <v>#REF!</v>
      </c>
      <c r="K47" s="5" t="s">
        <v>484</v>
      </c>
      <c r="L47" s="5" t="s">
        <v>151</v>
      </c>
      <c r="M47" s="5" t="s">
        <v>485</v>
      </c>
      <c r="N47" s="10" t="e">
        <f>VLOOKUP(D47,#REF!,80,0)</f>
        <v>#REF!</v>
      </c>
      <c r="O47" s="11" t="e">
        <f t="shared" si="11"/>
        <v>#REF!</v>
      </c>
      <c r="P47" s="5" t="s">
        <v>365</v>
      </c>
      <c r="Q47" s="5" t="e">
        <f>VLOOKUP(D47,#REF!,50,0)</f>
        <v>#REF!</v>
      </c>
      <c r="R47" s="5" t="e">
        <f t="shared" si="12"/>
        <v>#REF!</v>
      </c>
      <c r="S47" s="5" t="s">
        <v>454</v>
      </c>
      <c r="T47" s="5" t="e">
        <f>VLOOKUP(D47,#REF!,21,0)</f>
        <v>#REF!</v>
      </c>
      <c r="U47" s="5" t="e">
        <f t="shared" si="13"/>
        <v>#REF!</v>
      </c>
      <c r="V47" s="5" t="s">
        <v>367</v>
      </c>
      <c r="W47" s="5" t="e">
        <f>VLOOKUP(D47,#REF!,51,0)</f>
        <v>#REF!</v>
      </c>
      <c r="X47" s="5" t="e">
        <f t="shared" si="14"/>
        <v>#REF!</v>
      </c>
      <c r="Y47" s="5" t="s">
        <v>192</v>
      </c>
      <c r="Z47" s="5" t="s">
        <v>193</v>
      </c>
      <c r="AA47" s="14">
        <v>2.14</v>
      </c>
      <c r="AB47" s="14">
        <v>33766</v>
      </c>
      <c r="AC47" s="14" t="e">
        <f>ROUND(VLOOKUP(D47,#REF!,59,0),0)</f>
        <v>#REF!</v>
      </c>
      <c r="AD47" s="14" t="e">
        <f t="shared" si="40"/>
        <v>#REF!</v>
      </c>
      <c r="AE47" s="14">
        <v>33766</v>
      </c>
      <c r="AF47" s="14">
        <f t="shared" si="41"/>
        <v>33766</v>
      </c>
      <c r="AG47" s="14">
        <f t="shared" si="42"/>
        <v>0</v>
      </c>
      <c r="AH47" s="14">
        <v>-13070.71</v>
      </c>
      <c r="AI47" s="14" t="e">
        <f>-VLOOKUP(D47,#REF!,14,0)*12/31</f>
        <v>#REF!</v>
      </c>
      <c r="AJ47" s="14" t="e">
        <f>AI47-AH47</f>
        <v>#REF!</v>
      </c>
      <c r="AK47" s="14">
        <v>0</v>
      </c>
      <c r="AL47" s="14"/>
      <c r="AM47" s="14"/>
      <c r="AN47" s="14">
        <v>0</v>
      </c>
      <c r="AO47" s="14">
        <v>2500</v>
      </c>
      <c r="AP47" s="14">
        <f>IFERROR(VLOOKUP('Feb for check'!D47,#REF!,15,0),0)</f>
        <v>0</v>
      </c>
      <c r="AQ47" s="14">
        <f t="shared" si="18"/>
        <v>-2500</v>
      </c>
      <c r="AR47" s="14">
        <v>2500</v>
      </c>
      <c r="AS47" s="14">
        <f t="shared" si="19"/>
        <v>2500</v>
      </c>
      <c r="AT47" s="14">
        <f t="shared" si="20"/>
        <v>0</v>
      </c>
      <c r="AU47" s="14">
        <v>-967.74</v>
      </c>
      <c r="AV47" s="14" t="e">
        <f>-AO47*#REF!/31</f>
        <v>#REF!</v>
      </c>
      <c r="AW47" s="14">
        <v>0</v>
      </c>
      <c r="AX47" s="14"/>
      <c r="AY47" s="14">
        <v>0</v>
      </c>
      <c r="AZ47" s="14"/>
      <c r="BA47" s="14">
        <v>367.58</v>
      </c>
      <c r="BB47" s="14">
        <f>IFERROR(VLOOKUP(D47,#REF!,2,0),0)</f>
        <v>0</v>
      </c>
      <c r="BC47" s="14" t="e">
        <f>MAX(VLOOKUP(D47,#REF!,13,0)-VLOOKUP(D47,#REF!,14,0),0)</f>
        <v>#REF!</v>
      </c>
      <c r="BD47" s="14">
        <f>IFERROR(VLOOKUP(D47,#REF!,3,0),0)</f>
        <v>0</v>
      </c>
      <c r="BE47" s="14" t="e">
        <f>MAX(VLOOKUP(D47,#REF!,22,0)-VLOOKUP(D47,#REF!,23,0),0)</f>
        <v>#REF!</v>
      </c>
      <c r="BF47" s="14" t="e">
        <f t="shared" si="21"/>
        <v>#REF!</v>
      </c>
      <c r="BG47" s="14" t="e">
        <f t="shared" si="22"/>
        <v>#REF!</v>
      </c>
      <c r="BH47" s="14">
        <v>14759.52</v>
      </c>
      <c r="BI47" s="14" t="e">
        <f>VLOOKUP(D47,#REF!,15,0)*#REF!</f>
        <v>#REF!</v>
      </c>
      <c r="BJ47" s="14" t="e">
        <f>BI47-BH47</f>
        <v>#REF!</v>
      </c>
      <c r="BK47" s="14">
        <v>917</v>
      </c>
      <c r="BL47" s="14">
        <f t="shared" si="23"/>
        <v>917</v>
      </c>
      <c r="BM47" s="14">
        <f t="shared" si="24"/>
        <v>0</v>
      </c>
      <c r="BN47" s="14">
        <v>0</v>
      </c>
      <c r="BO47" s="14"/>
      <c r="BP47" s="14"/>
      <c r="BQ47" s="14"/>
      <c r="BR47" s="14">
        <v>0</v>
      </c>
      <c r="BS47" s="14"/>
      <c r="BT47" s="14">
        <v>0</v>
      </c>
      <c r="BU47" s="14"/>
      <c r="BV47" s="14">
        <v>0</v>
      </c>
      <c r="BW47" s="14"/>
      <c r="BX47" s="14">
        <v>38271.65</v>
      </c>
      <c r="BY47" s="14">
        <f t="shared" si="25"/>
        <v>38271.65</v>
      </c>
      <c r="BZ47" s="14">
        <f t="shared" si="26"/>
        <v>0</v>
      </c>
      <c r="CA47" s="14">
        <v>35822.39</v>
      </c>
      <c r="CB47" s="14">
        <f t="shared" si="27"/>
        <v>35822.39</v>
      </c>
      <c r="CC47" s="14">
        <f t="shared" si="28"/>
        <v>0</v>
      </c>
      <c r="CD47" s="14">
        <v>0</v>
      </c>
      <c r="CE47" s="14"/>
      <c r="CF47" s="14"/>
      <c r="CG47" s="14">
        <v>0</v>
      </c>
      <c r="CH47" s="14"/>
      <c r="CI47" s="14">
        <v>1192.3068000000001</v>
      </c>
      <c r="CJ47" s="14">
        <v>0</v>
      </c>
      <c r="CK47" s="14"/>
      <c r="CL47" s="14">
        <v>0</v>
      </c>
      <c r="CM47" s="14">
        <v>7.4999999999999997E-2</v>
      </c>
      <c r="CN47" s="14">
        <v>0</v>
      </c>
      <c r="CO47" s="14">
        <v>0</v>
      </c>
      <c r="CP47" s="14">
        <v>0</v>
      </c>
      <c r="CQ47" s="14"/>
      <c r="CR47" s="14">
        <v>0</v>
      </c>
      <c r="CS47" s="14"/>
      <c r="CT47" s="14">
        <v>1500</v>
      </c>
      <c r="CU47" s="14">
        <f t="shared" si="43"/>
        <v>1500</v>
      </c>
      <c r="CV47" s="14">
        <f t="shared" si="44"/>
        <v>0</v>
      </c>
      <c r="CW47" s="14">
        <v>0</v>
      </c>
      <c r="CX47" s="14">
        <f t="shared" si="31"/>
        <v>0</v>
      </c>
      <c r="CY47" s="14">
        <f t="shared" si="32"/>
        <v>0</v>
      </c>
      <c r="CZ47" s="14">
        <v>1500</v>
      </c>
      <c r="DA47" s="14">
        <f t="shared" si="33"/>
        <v>1500</v>
      </c>
      <c r="DB47" s="14">
        <f t="shared" si="34"/>
        <v>0</v>
      </c>
      <c r="DC47" s="14">
        <v>1186.68</v>
      </c>
      <c r="DD47" s="14">
        <f t="shared" si="39"/>
        <v>1186.68</v>
      </c>
      <c r="DE47" s="14">
        <f t="shared" si="35"/>
        <v>0</v>
      </c>
      <c r="DF47" s="14">
        <v>36771.65</v>
      </c>
      <c r="DG47" s="14">
        <f t="shared" si="36"/>
        <v>36771.65</v>
      </c>
      <c r="DH47" s="14">
        <f t="shared" si="37"/>
        <v>0</v>
      </c>
      <c r="DI47" s="14">
        <v>4475.8500000000004</v>
      </c>
      <c r="DJ47" s="14">
        <f>IFERROR(VLOOKUP(D47,#REF!,2,0),0)</f>
        <v>0</v>
      </c>
      <c r="DK47" s="14">
        <f t="shared" si="38"/>
        <v>-4475.8500000000004</v>
      </c>
      <c r="DL47" s="14">
        <v>36739.39</v>
      </c>
      <c r="DM47" s="14">
        <v>613322.23</v>
      </c>
      <c r="DN47" s="14">
        <v>2813.83</v>
      </c>
      <c r="DO47" s="14">
        <v>367.58</v>
      </c>
      <c r="DP47" s="14">
        <v>0</v>
      </c>
      <c r="DQ47" s="14">
        <v>22595.13</v>
      </c>
      <c r="DR47" s="14">
        <v>16</v>
      </c>
      <c r="DS47" s="14">
        <v>0</v>
      </c>
      <c r="DT47" s="5" t="s">
        <v>206</v>
      </c>
      <c r="DU47" s="5" t="s">
        <v>195</v>
      </c>
      <c r="DV47" s="5" t="s">
        <v>196</v>
      </c>
      <c r="DW47" s="5" t="s">
        <v>197</v>
      </c>
    </row>
    <row r="48" spans="1:127" ht="16.5">
      <c r="A48" s="5" t="s">
        <v>184</v>
      </c>
      <c r="B48" s="5" t="s">
        <v>147</v>
      </c>
      <c r="C48" s="5" t="s">
        <v>148</v>
      </c>
      <c r="D48" s="5" t="s">
        <v>486</v>
      </c>
      <c r="E48" s="5" t="e">
        <f>VLOOKUP(D48,#REF!,1,0)</f>
        <v>#REF!</v>
      </c>
      <c r="F48" s="5" t="s">
        <v>487</v>
      </c>
      <c r="G48" s="5" t="s">
        <v>488</v>
      </c>
      <c r="H48" s="5" t="str">
        <f t="shared" si="0"/>
        <v>Ka Hei Hung</v>
      </c>
      <c r="I48" s="5" t="e">
        <f>VLOOKUP(D48,#REF!,9,0)</f>
        <v>#REF!</v>
      </c>
      <c r="J48" s="5" t="e">
        <f t="shared" si="1"/>
        <v>#REF!</v>
      </c>
      <c r="K48" s="5" t="s">
        <v>489</v>
      </c>
      <c r="L48" s="5" t="s">
        <v>151</v>
      </c>
      <c r="M48" s="5" t="s">
        <v>490</v>
      </c>
      <c r="N48" s="10" t="e">
        <f>VLOOKUP(D48,#REF!,80,0)</f>
        <v>#REF!</v>
      </c>
      <c r="O48" s="11" t="e">
        <f t="shared" si="11"/>
        <v>#REF!</v>
      </c>
      <c r="P48" s="5" t="s">
        <v>275</v>
      </c>
      <c r="Q48" s="5" t="e">
        <f>VLOOKUP(D48,#REF!,50,0)</f>
        <v>#REF!</v>
      </c>
      <c r="R48" s="5" t="e">
        <f t="shared" si="12"/>
        <v>#REF!</v>
      </c>
      <c r="S48" s="5" t="s">
        <v>491</v>
      </c>
      <c r="T48" s="5" t="e">
        <f>VLOOKUP(D48,#REF!,21,0)</f>
        <v>#REF!</v>
      </c>
      <c r="U48" s="5" t="e">
        <f t="shared" si="13"/>
        <v>#REF!</v>
      </c>
      <c r="V48" s="5" t="s">
        <v>277</v>
      </c>
      <c r="W48" s="5" t="e">
        <f>VLOOKUP(D48,#REF!,51,0)</f>
        <v>#REF!</v>
      </c>
      <c r="X48" s="5" t="e">
        <f t="shared" si="14"/>
        <v>#REF!</v>
      </c>
      <c r="Y48" s="5" t="s">
        <v>192</v>
      </c>
      <c r="Z48" s="5" t="s">
        <v>193</v>
      </c>
      <c r="AA48" s="14">
        <v>1.74</v>
      </c>
      <c r="AB48" s="14">
        <v>31740</v>
      </c>
      <c r="AC48" s="14" t="e">
        <f>ROUND(VLOOKUP(D48,#REF!,59,0),0)</f>
        <v>#REF!</v>
      </c>
      <c r="AD48" s="14" t="e">
        <f t="shared" si="40"/>
        <v>#REF!</v>
      </c>
      <c r="AE48" s="14">
        <v>31740</v>
      </c>
      <c r="AF48" s="14">
        <f t="shared" si="41"/>
        <v>31740</v>
      </c>
      <c r="AG48" s="14">
        <f t="shared" si="42"/>
        <v>0</v>
      </c>
      <c r="AH48" s="14">
        <v>0</v>
      </c>
      <c r="AI48" s="14"/>
      <c r="AJ48" s="14"/>
      <c r="AK48" s="14">
        <v>0</v>
      </c>
      <c r="AL48" s="14"/>
      <c r="AM48" s="14"/>
      <c r="AN48" s="14">
        <v>0</v>
      </c>
      <c r="AO48" s="14">
        <v>2500</v>
      </c>
      <c r="AP48" s="14">
        <f>IFERROR(VLOOKUP('Feb for check'!D48,#REF!,15,0),0)</f>
        <v>0</v>
      </c>
      <c r="AQ48" s="14">
        <f t="shared" si="18"/>
        <v>-2500</v>
      </c>
      <c r="AR48" s="14">
        <v>2500</v>
      </c>
      <c r="AS48" s="14">
        <f t="shared" si="19"/>
        <v>2500</v>
      </c>
      <c r="AT48" s="14">
        <f t="shared" si="20"/>
        <v>0</v>
      </c>
      <c r="AU48" s="14">
        <v>0</v>
      </c>
      <c r="AV48" s="14"/>
      <c r="AW48" s="14">
        <v>0</v>
      </c>
      <c r="AX48" s="14"/>
      <c r="AY48" s="14">
        <v>0</v>
      </c>
      <c r="AZ48" s="14"/>
      <c r="BA48" s="14">
        <v>0</v>
      </c>
      <c r="BB48" s="14">
        <f>IFERROR(VLOOKUP(D48,#REF!,2,0),0)</f>
        <v>0</v>
      </c>
      <c r="BC48" s="14" t="e">
        <f>MAX(VLOOKUP(D48,#REF!,13,0)-VLOOKUP(D48,#REF!,14,0),0)</f>
        <v>#REF!</v>
      </c>
      <c r="BD48" s="14">
        <f>IFERROR(VLOOKUP(D48,#REF!,3,0),0)</f>
        <v>0</v>
      </c>
      <c r="BE48" s="14" t="e">
        <f>MAX(VLOOKUP(D48,#REF!,22,0)-VLOOKUP(D48,#REF!,23,0),0)</f>
        <v>#REF!</v>
      </c>
      <c r="BF48" s="14" t="e">
        <f t="shared" si="21"/>
        <v>#REF!</v>
      </c>
      <c r="BG48" s="14" t="e">
        <f t="shared" si="22"/>
        <v>#REF!</v>
      </c>
      <c r="BH48" s="14">
        <v>0</v>
      </c>
      <c r="BI48" s="14"/>
      <c r="BJ48" s="14"/>
      <c r="BK48" s="14">
        <v>0</v>
      </c>
      <c r="BL48" s="14">
        <f t="shared" si="23"/>
        <v>0</v>
      </c>
      <c r="BM48" s="14">
        <f t="shared" si="24"/>
        <v>0</v>
      </c>
      <c r="BN48" s="14">
        <v>0</v>
      </c>
      <c r="BO48" s="14"/>
      <c r="BP48" s="14"/>
      <c r="BQ48" s="14"/>
      <c r="BR48" s="14">
        <v>0</v>
      </c>
      <c r="BS48" s="14"/>
      <c r="BT48" s="14">
        <v>0</v>
      </c>
      <c r="BU48" s="14"/>
      <c r="BV48" s="14">
        <v>0</v>
      </c>
      <c r="BW48" s="14"/>
      <c r="BX48" s="14">
        <v>34240</v>
      </c>
      <c r="BY48" s="14">
        <f t="shared" si="25"/>
        <v>34240</v>
      </c>
      <c r="BZ48" s="14">
        <f t="shared" si="26"/>
        <v>0</v>
      </c>
      <c r="CA48" s="14">
        <v>31740</v>
      </c>
      <c r="CB48" s="14">
        <f t="shared" si="27"/>
        <v>31740</v>
      </c>
      <c r="CC48" s="14">
        <f t="shared" si="28"/>
        <v>0</v>
      </c>
      <c r="CD48" s="14">
        <v>0</v>
      </c>
      <c r="CE48" s="14"/>
      <c r="CF48" s="14"/>
      <c r="CG48" s="14">
        <v>0</v>
      </c>
      <c r="CH48" s="14"/>
      <c r="CI48" s="14">
        <v>1125.6985999999999</v>
      </c>
      <c r="CJ48" s="14">
        <v>0</v>
      </c>
      <c r="CK48" s="14"/>
      <c r="CL48" s="14">
        <v>0</v>
      </c>
      <c r="CM48" s="14">
        <v>7.4999999999999997E-2</v>
      </c>
      <c r="CN48" s="14">
        <v>0</v>
      </c>
      <c r="CO48" s="14">
        <v>0</v>
      </c>
      <c r="CP48" s="14">
        <v>0</v>
      </c>
      <c r="CQ48" s="14"/>
      <c r="CR48" s="14">
        <v>0</v>
      </c>
      <c r="CS48" s="14"/>
      <c r="CT48" s="14">
        <v>1500</v>
      </c>
      <c r="CU48" s="14">
        <f t="shared" si="43"/>
        <v>1500</v>
      </c>
      <c r="CV48" s="14">
        <f t="shared" si="44"/>
        <v>0</v>
      </c>
      <c r="CW48" s="14">
        <v>0</v>
      </c>
      <c r="CX48" s="14">
        <f t="shared" si="31"/>
        <v>0</v>
      </c>
      <c r="CY48" s="14">
        <f t="shared" si="32"/>
        <v>0</v>
      </c>
      <c r="CZ48" s="14">
        <v>1500</v>
      </c>
      <c r="DA48" s="14">
        <f t="shared" si="33"/>
        <v>1500</v>
      </c>
      <c r="DB48" s="14">
        <f t="shared" si="34"/>
        <v>0</v>
      </c>
      <c r="DC48" s="14">
        <v>880.5</v>
      </c>
      <c r="DD48" s="14">
        <f t="shared" si="39"/>
        <v>880.5</v>
      </c>
      <c r="DE48" s="14">
        <f t="shared" si="35"/>
        <v>0</v>
      </c>
      <c r="DF48" s="14">
        <v>32740</v>
      </c>
      <c r="DG48" s="14">
        <f t="shared" si="36"/>
        <v>32740</v>
      </c>
      <c r="DH48" s="14">
        <f t="shared" si="37"/>
        <v>0</v>
      </c>
      <c r="DI48" s="14">
        <v>0</v>
      </c>
      <c r="DJ48" s="14">
        <f>IFERROR(VLOOKUP(D48,#REF!,2,0),0)</f>
        <v>0</v>
      </c>
      <c r="DK48" s="14">
        <f t="shared" si="38"/>
        <v>0</v>
      </c>
      <c r="DL48" s="14">
        <v>31740</v>
      </c>
      <c r="DM48" s="14">
        <v>570334.55000000005</v>
      </c>
      <c r="DN48" s="14">
        <v>2645</v>
      </c>
      <c r="DO48" s="14">
        <v>0</v>
      </c>
      <c r="DP48" s="14">
        <v>0</v>
      </c>
      <c r="DQ48" s="14">
        <v>34240</v>
      </c>
      <c r="DR48" s="14">
        <v>28</v>
      </c>
      <c r="DS48" s="14">
        <v>0</v>
      </c>
      <c r="DT48" s="5" t="s">
        <v>206</v>
      </c>
      <c r="DU48" s="5" t="s">
        <v>195</v>
      </c>
      <c r="DV48" s="5" t="s">
        <v>196</v>
      </c>
      <c r="DW48" s="5" t="s">
        <v>197</v>
      </c>
    </row>
    <row r="49" spans="1:127" ht="16.5">
      <c r="A49" s="5" t="s">
        <v>184</v>
      </c>
      <c r="B49" s="5" t="s">
        <v>147</v>
      </c>
      <c r="C49" s="5" t="s">
        <v>148</v>
      </c>
      <c r="D49" s="5" t="s">
        <v>492</v>
      </c>
      <c r="E49" s="5" t="e">
        <f>VLOOKUP(D49,#REF!,1,0)</f>
        <v>#REF!</v>
      </c>
      <c r="F49" s="5" t="s">
        <v>187</v>
      </c>
      <c r="G49" s="5" t="s">
        <v>493</v>
      </c>
      <c r="H49" s="5" t="str">
        <f t="shared" si="0"/>
        <v>Mingshan Wu</v>
      </c>
      <c r="I49" s="5" t="e">
        <f>VLOOKUP(D49,#REF!,9,0)</f>
        <v>#REF!</v>
      </c>
      <c r="J49" s="5" t="e">
        <f t="shared" si="1"/>
        <v>#REF!</v>
      </c>
      <c r="K49" s="5" t="s">
        <v>494</v>
      </c>
      <c r="L49" s="5" t="s">
        <v>151</v>
      </c>
      <c r="M49" s="5" t="s">
        <v>495</v>
      </c>
      <c r="N49" s="10" t="e">
        <f>VLOOKUP(D49,#REF!,80,0)</f>
        <v>#REF!</v>
      </c>
      <c r="O49" s="11" t="e">
        <f t="shared" si="11"/>
        <v>#REF!</v>
      </c>
      <c r="P49" s="5" t="s">
        <v>275</v>
      </c>
      <c r="Q49" s="5" t="e">
        <f>VLOOKUP(D49,#REF!,50,0)</f>
        <v>#REF!</v>
      </c>
      <c r="R49" s="5" t="e">
        <f t="shared" si="12"/>
        <v>#REF!</v>
      </c>
      <c r="S49" s="5" t="s">
        <v>496</v>
      </c>
      <c r="T49" s="5" t="e">
        <f>VLOOKUP(D49,#REF!,21,0)</f>
        <v>#REF!</v>
      </c>
      <c r="U49" s="5" t="e">
        <f t="shared" si="13"/>
        <v>#REF!</v>
      </c>
      <c r="V49" s="5" t="s">
        <v>277</v>
      </c>
      <c r="W49" s="5" t="e">
        <f>VLOOKUP(D49,#REF!,51,0)</f>
        <v>#REF!</v>
      </c>
      <c r="X49" s="5" t="e">
        <f t="shared" si="14"/>
        <v>#REF!</v>
      </c>
      <c r="Y49" s="5" t="s">
        <v>192</v>
      </c>
      <c r="Z49" s="5" t="s">
        <v>193</v>
      </c>
      <c r="AA49" s="14">
        <v>1.79</v>
      </c>
      <c r="AB49" s="14">
        <v>27563</v>
      </c>
      <c r="AC49" s="14" t="e">
        <f>ROUND(VLOOKUP(D49,#REF!,59,0),0)</f>
        <v>#REF!</v>
      </c>
      <c r="AD49" s="14" t="e">
        <f t="shared" si="40"/>
        <v>#REF!</v>
      </c>
      <c r="AE49" s="14">
        <v>27563</v>
      </c>
      <c r="AF49" s="14">
        <f t="shared" si="41"/>
        <v>27563</v>
      </c>
      <c r="AG49" s="14">
        <f t="shared" si="42"/>
        <v>0</v>
      </c>
      <c r="AH49" s="14">
        <v>0</v>
      </c>
      <c r="AI49" s="14"/>
      <c r="AJ49" s="14"/>
      <c r="AK49" s="14">
        <v>0</v>
      </c>
      <c r="AL49" s="14"/>
      <c r="AM49" s="14"/>
      <c r="AN49" s="14">
        <v>0</v>
      </c>
      <c r="AO49" s="14">
        <v>2500</v>
      </c>
      <c r="AP49" s="14">
        <f>IFERROR(VLOOKUP('Feb for check'!D49,#REF!,15,0),0)</f>
        <v>0</v>
      </c>
      <c r="AQ49" s="14">
        <f t="shared" si="18"/>
        <v>-2500</v>
      </c>
      <c r="AR49" s="14">
        <v>2500</v>
      </c>
      <c r="AS49" s="14">
        <f t="shared" si="19"/>
        <v>2500</v>
      </c>
      <c r="AT49" s="14">
        <f t="shared" si="20"/>
        <v>0</v>
      </c>
      <c r="AU49" s="14">
        <v>0</v>
      </c>
      <c r="AV49" s="14"/>
      <c r="AW49" s="14">
        <v>0</v>
      </c>
      <c r="AX49" s="14"/>
      <c r="AY49" s="14">
        <v>0</v>
      </c>
      <c r="AZ49" s="14"/>
      <c r="BA49" s="14">
        <v>247.28</v>
      </c>
      <c r="BB49" s="14">
        <f>IFERROR(VLOOKUP(D49,#REF!,2,0),0)</f>
        <v>0</v>
      </c>
      <c r="BC49" s="14" t="e">
        <f>MAX(VLOOKUP(D49,#REF!,13,0)-VLOOKUP(D49,#REF!,14,0),0)</f>
        <v>#REF!</v>
      </c>
      <c r="BD49" s="14">
        <f>IFERROR(VLOOKUP(D49,#REF!,3,0),0)</f>
        <v>0</v>
      </c>
      <c r="BE49" s="14" t="e">
        <f>MAX(VLOOKUP(D49,#REF!,22,0)-VLOOKUP(D49,#REF!,23,0),0)</f>
        <v>#REF!</v>
      </c>
      <c r="BF49" s="14" t="e">
        <f t="shared" si="21"/>
        <v>#REF!</v>
      </c>
      <c r="BG49" s="14" t="e">
        <f t="shared" si="22"/>
        <v>#REF!</v>
      </c>
      <c r="BH49" s="14">
        <v>0</v>
      </c>
      <c r="BI49" s="14"/>
      <c r="BJ49" s="14"/>
      <c r="BK49" s="14">
        <v>917</v>
      </c>
      <c r="BL49" s="14">
        <f t="shared" si="23"/>
        <v>917</v>
      </c>
      <c r="BM49" s="14">
        <f t="shared" si="24"/>
        <v>0</v>
      </c>
      <c r="BN49" s="14">
        <v>0</v>
      </c>
      <c r="BO49" s="14"/>
      <c r="BP49" s="14"/>
      <c r="BQ49" s="14"/>
      <c r="BR49" s="14">
        <v>0</v>
      </c>
      <c r="BS49" s="14"/>
      <c r="BT49" s="14">
        <v>0</v>
      </c>
      <c r="BU49" s="14"/>
      <c r="BV49" s="14">
        <v>0</v>
      </c>
      <c r="BW49" s="14"/>
      <c r="BX49" s="14">
        <v>31227.279999999999</v>
      </c>
      <c r="BY49" s="14">
        <f t="shared" si="25"/>
        <v>31227.279999999999</v>
      </c>
      <c r="BZ49" s="14">
        <f t="shared" si="26"/>
        <v>0</v>
      </c>
      <c r="CA49" s="14">
        <v>27810.28</v>
      </c>
      <c r="CB49" s="14">
        <f t="shared" si="27"/>
        <v>27810.28</v>
      </c>
      <c r="CC49" s="14">
        <f t="shared" si="28"/>
        <v>0</v>
      </c>
      <c r="CD49" s="14">
        <v>0</v>
      </c>
      <c r="CE49" s="14"/>
      <c r="CF49" s="14"/>
      <c r="CG49" s="14">
        <v>0</v>
      </c>
      <c r="CH49" s="14"/>
      <c r="CI49" s="14">
        <v>988.37260000000003</v>
      </c>
      <c r="CJ49" s="14">
        <v>0</v>
      </c>
      <c r="CK49" s="14"/>
      <c r="CL49" s="14">
        <v>0</v>
      </c>
      <c r="CM49" s="14">
        <v>7.4999999999999997E-2</v>
      </c>
      <c r="CN49" s="14">
        <v>0</v>
      </c>
      <c r="CO49" s="14">
        <v>0</v>
      </c>
      <c r="CP49" s="14">
        <v>0</v>
      </c>
      <c r="CQ49" s="14"/>
      <c r="CR49" s="14">
        <v>0</v>
      </c>
      <c r="CS49" s="14"/>
      <c r="CT49" s="14">
        <v>1500</v>
      </c>
      <c r="CU49" s="14">
        <f t="shared" si="43"/>
        <v>1500</v>
      </c>
      <c r="CV49" s="14">
        <f t="shared" si="44"/>
        <v>0</v>
      </c>
      <c r="CW49" s="14">
        <v>0</v>
      </c>
      <c r="CX49" s="14">
        <f t="shared" si="31"/>
        <v>0</v>
      </c>
      <c r="CY49" s="14">
        <f t="shared" si="32"/>
        <v>0</v>
      </c>
      <c r="CZ49" s="14">
        <v>1500</v>
      </c>
      <c r="DA49" s="14">
        <f t="shared" si="33"/>
        <v>1500</v>
      </c>
      <c r="DB49" s="14">
        <f t="shared" si="34"/>
        <v>0</v>
      </c>
      <c r="DC49" s="14">
        <v>585.77</v>
      </c>
      <c r="DD49" s="14">
        <f t="shared" si="39"/>
        <v>585.77</v>
      </c>
      <c r="DE49" s="14">
        <f t="shared" si="35"/>
        <v>0</v>
      </c>
      <c r="DF49" s="14">
        <v>29727.279999999999</v>
      </c>
      <c r="DG49" s="14">
        <f t="shared" si="36"/>
        <v>29727.279999999999</v>
      </c>
      <c r="DH49" s="14">
        <f t="shared" si="37"/>
        <v>0</v>
      </c>
      <c r="DI49" s="14">
        <v>4475.8500000000004</v>
      </c>
      <c r="DJ49" s="14">
        <f>IFERROR(VLOOKUP(D49,#REF!,2,0),0)</f>
        <v>0</v>
      </c>
      <c r="DK49" s="14">
        <f t="shared" si="38"/>
        <v>-4475.8500000000004</v>
      </c>
      <c r="DL49" s="14">
        <v>28727.279999999999</v>
      </c>
      <c r="DM49" s="14">
        <v>493492.09</v>
      </c>
      <c r="DN49" s="14">
        <v>2296.92</v>
      </c>
      <c r="DO49" s="14">
        <v>247.28</v>
      </c>
      <c r="DP49" s="14">
        <v>0</v>
      </c>
      <c r="DQ49" s="14">
        <v>30310.28</v>
      </c>
      <c r="DR49" s="14">
        <v>28</v>
      </c>
      <c r="DS49" s="14">
        <v>0</v>
      </c>
      <c r="DT49" s="5" t="s">
        <v>206</v>
      </c>
      <c r="DU49" s="5" t="s">
        <v>195</v>
      </c>
      <c r="DV49" s="5" t="s">
        <v>196</v>
      </c>
      <c r="DW49" s="5" t="s">
        <v>197</v>
      </c>
    </row>
    <row r="50" spans="1:127" ht="16.5">
      <c r="A50" s="5" t="s">
        <v>184</v>
      </c>
      <c r="B50" s="5" t="s">
        <v>147</v>
      </c>
      <c r="C50" s="5" t="s">
        <v>148</v>
      </c>
      <c r="D50" s="5" t="s">
        <v>497</v>
      </c>
      <c r="E50" s="5" t="e">
        <f>VLOOKUP(D50,#REF!,1,0)</f>
        <v>#REF!</v>
      </c>
      <c r="F50" s="5" t="s">
        <v>257</v>
      </c>
      <c r="G50" s="5" t="s">
        <v>498</v>
      </c>
      <c r="H50" s="5" t="str">
        <f t="shared" si="0"/>
        <v>Ho Yan Tam</v>
      </c>
      <c r="I50" s="5" t="e">
        <f>VLOOKUP(D50,#REF!,9,0)</f>
        <v>#REF!</v>
      </c>
      <c r="J50" s="5" t="e">
        <f t="shared" si="1"/>
        <v>#REF!</v>
      </c>
      <c r="K50" s="5" t="s">
        <v>499</v>
      </c>
      <c r="L50" s="5" t="s">
        <v>151</v>
      </c>
      <c r="M50" s="5" t="s">
        <v>313</v>
      </c>
      <c r="N50" s="10" t="e">
        <f>VLOOKUP(D50,#REF!,80,0)</f>
        <v>#REF!</v>
      </c>
      <c r="O50" s="11" t="e">
        <f t="shared" si="11"/>
        <v>#REF!</v>
      </c>
      <c r="P50" s="5" t="s">
        <v>500</v>
      </c>
      <c r="Q50" s="5" t="e">
        <f>VLOOKUP(D50,#REF!,50,0)</f>
        <v>#REF!</v>
      </c>
      <c r="R50" s="5" t="e">
        <f t="shared" si="12"/>
        <v>#REF!</v>
      </c>
      <c r="S50" s="5" t="s">
        <v>501</v>
      </c>
      <c r="T50" s="5" t="e">
        <f>VLOOKUP(D50,#REF!,21,0)</f>
        <v>#REF!</v>
      </c>
      <c r="U50" s="5" t="e">
        <f t="shared" si="13"/>
        <v>#REF!</v>
      </c>
      <c r="V50" s="5" t="s">
        <v>502</v>
      </c>
      <c r="W50" s="5" t="e">
        <f>VLOOKUP(D50,#REF!,51,0)</f>
        <v>#REF!</v>
      </c>
      <c r="X50" s="5" t="e">
        <f t="shared" si="14"/>
        <v>#REF!</v>
      </c>
      <c r="Y50" s="5" t="s">
        <v>192</v>
      </c>
      <c r="Z50" s="5" t="s">
        <v>193</v>
      </c>
      <c r="AA50" s="14">
        <v>2.4300000000000002</v>
      </c>
      <c r="AB50" s="14">
        <v>83908</v>
      </c>
      <c r="AC50" s="14" t="e">
        <f>ROUND(VLOOKUP(D50,#REF!,59,0),0)</f>
        <v>#REF!</v>
      </c>
      <c r="AD50" s="14" t="e">
        <f t="shared" si="40"/>
        <v>#REF!</v>
      </c>
      <c r="AE50" s="14">
        <v>83908</v>
      </c>
      <c r="AF50" s="14">
        <f t="shared" si="41"/>
        <v>83908</v>
      </c>
      <c r="AG50" s="14">
        <f t="shared" si="42"/>
        <v>0</v>
      </c>
      <c r="AH50" s="14">
        <v>0</v>
      </c>
      <c r="AI50" s="14"/>
      <c r="AJ50" s="14"/>
      <c r="AK50" s="14">
        <v>0</v>
      </c>
      <c r="AL50" s="14"/>
      <c r="AM50" s="14"/>
      <c r="AN50" s="14">
        <v>0</v>
      </c>
      <c r="AO50" s="14">
        <v>0</v>
      </c>
      <c r="AP50" s="14">
        <f>IFERROR(VLOOKUP('Feb for check'!D50,#REF!,15,0),0)</f>
        <v>0</v>
      </c>
      <c r="AQ50" s="14">
        <f t="shared" si="18"/>
        <v>0</v>
      </c>
      <c r="AR50" s="14">
        <v>0</v>
      </c>
      <c r="AS50" s="14">
        <f t="shared" si="19"/>
        <v>0</v>
      </c>
      <c r="AT50" s="14">
        <f t="shared" si="20"/>
        <v>0</v>
      </c>
      <c r="AU50" s="14">
        <v>0</v>
      </c>
      <c r="AV50" s="14"/>
      <c r="AW50" s="14">
        <v>0</v>
      </c>
      <c r="AX50" s="14"/>
      <c r="AY50" s="14">
        <v>0</v>
      </c>
      <c r="AZ50" s="14"/>
      <c r="BA50" s="14">
        <v>1077.18</v>
      </c>
      <c r="BB50" s="14">
        <f>IFERROR(VLOOKUP(D50,#REF!,2,0),0)</f>
        <v>0</v>
      </c>
      <c r="BC50" s="14" t="e">
        <f>MAX(VLOOKUP(D50,#REF!,13,0)-VLOOKUP(D50,#REF!,14,0),0)</f>
        <v>#REF!</v>
      </c>
      <c r="BD50" s="14">
        <f>IFERROR(VLOOKUP(D50,#REF!,3,0),0)</f>
        <v>0</v>
      </c>
      <c r="BE50" s="14" t="e">
        <f>MAX(VLOOKUP(D50,#REF!,22,0)-VLOOKUP(D50,#REF!,23,0),0)</f>
        <v>#REF!</v>
      </c>
      <c r="BF50" s="14" t="e">
        <f t="shared" si="21"/>
        <v>#REF!</v>
      </c>
      <c r="BG50" s="14" t="e">
        <f t="shared" si="22"/>
        <v>#REF!</v>
      </c>
      <c r="BH50" s="14">
        <v>0</v>
      </c>
      <c r="BI50" s="14"/>
      <c r="BJ50" s="14"/>
      <c r="BK50" s="14">
        <v>55</v>
      </c>
      <c r="BL50" s="14">
        <f t="shared" si="23"/>
        <v>55</v>
      </c>
      <c r="BM50" s="14">
        <f t="shared" si="24"/>
        <v>0</v>
      </c>
      <c r="BN50" s="14">
        <v>0</v>
      </c>
      <c r="BO50" s="14"/>
      <c r="BP50" s="14"/>
      <c r="BQ50" s="14"/>
      <c r="BR50" s="14">
        <v>0</v>
      </c>
      <c r="BS50" s="14"/>
      <c r="BT50" s="14">
        <v>0</v>
      </c>
      <c r="BU50" s="14"/>
      <c r="BV50" s="14">
        <v>0</v>
      </c>
      <c r="BW50" s="14"/>
      <c r="BX50" s="14">
        <v>85040.18</v>
      </c>
      <c r="BY50" s="14">
        <f t="shared" si="25"/>
        <v>85040.18</v>
      </c>
      <c r="BZ50" s="14">
        <f t="shared" si="26"/>
        <v>0</v>
      </c>
      <c r="CA50" s="14">
        <v>84985.18</v>
      </c>
      <c r="CB50" s="14">
        <f t="shared" si="27"/>
        <v>84985.18</v>
      </c>
      <c r="CC50" s="14">
        <f t="shared" si="28"/>
        <v>0</v>
      </c>
      <c r="CD50" s="14">
        <v>0</v>
      </c>
      <c r="CE50" s="14"/>
      <c r="CF50" s="14"/>
      <c r="CG50" s="14">
        <v>0</v>
      </c>
      <c r="CH50" s="14"/>
      <c r="CI50" s="14">
        <v>2758.6190999999999</v>
      </c>
      <c r="CJ50" s="14">
        <v>0</v>
      </c>
      <c r="CK50" s="14"/>
      <c r="CL50" s="14">
        <v>0</v>
      </c>
      <c r="CM50" s="14">
        <v>7.4999999999999997E-2</v>
      </c>
      <c r="CN50" s="14">
        <v>0</v>
      </c>
      <c r="CO50" s="14">
        <v>0</v>
      </c>
      <c r="CP50" s="14">
        <v>0</v>
      </c>
      <c r="CQ50" s="14"/>
      <c r="CR50" s="14">
        <v>0</v>
      </c>
      <c r="CS50" s="14"/>
      <c r="CT50" s="14">
        <v>1500</v>
      </c>
      <c r="CU50" s="14">
        <f t="shared" si="43"/>
        <v>1500</v>
      </c>
      <c r="CV50" s="14">
        <f t="shared" si="44"/>
        <v>0</v>
      </c>
      <c r="CW50" s="14">
        <v>0</v>
      </c>
      <c r="CX50" s="14">
        <f t="shared" si="31"/>
        <v>0</v>
      </c>
      <c r="CY50" s="14">
        <f t="shared" si="32"/>
        <v>0</v>
      </c>
      <c r="CZ50" s="14">
        <v>1500</v>
      </c>
      <c r="DA50" s="14">
        <f t="shared" si="33"/>
        <v>1500</v>
      </c>
      <c r="DB50" s="14">
        <f t="shared" si="34"/>
        <v>0</v>
      </c>
      <c r="DC50" s="14">
        <v>4873.8900000000003</v>
      </c>
      <c r="DD50" s="14">
        <f t="shared" si="39"/>
        <v>4873.8900000000003</v>
      </c>
      <c r="DE50" s="14">
        <f t="shared" si="35"/>
        <v>0</v>
      </c>
      <c r="DF50" s="14">
        <v>83540.179999999993</v>
      </c>
      <c r="DG50" s="14">
        <f t="shared" si="36"/>
        <v>83540.179999999993</v>
      </c>
      <c r="DH50" s="14">
        <f t="shared" si="37"/>
        <v>0</v>
      </c>
      <c r="DI50" s="14">
        <v>268.10000000000002</v>
      </c>
      <c r="DJ50" s="14">
        <f>IFERROR(VLOOKUP(D50,#REF!,2,0),0)</f>
        <v>0</v>
      </c>
      <c r="DK50" s="14">
        <f t="shared" si="38"/>
        <v>-268.10000000000002</v>
      </c>
      <c r="DL50" s="14">
        <v>85040.18</v>
      </c>
      <c r="DM50" s="14">
        <v>1485527.01</v>
      </c>
      <c r="DN50" s="14">
        <v>6992.33</v>
      </c>
      <c r="DO50" s="14">
        <v>1077.18</v>
      </c>
      <c r="DP50" s="14">
        <v>0</v>
      </c>
      <c r="DQ50" s="14">
        <v>84985.18</v>
      </c>
      <c r="DR50" s="14">
        <v>28</v>
      </c>
      <c r="DS50" s="14">
        <v>0</v>
      </c>
      <c r="DT50" s="5" t="s">
        <v>206</v>
      </c>
      <c r="DU50" s="5" t="s">
        <v>195</v>
      </c>
      <c r="DV50" s="5" t="s">
        <v>196</v>
      </c>
      <c r="DW50" s="5" t="s">
        <v>197</v>
      </c>
    </row>
    <row r="51" spans="1:127" ht="16.5">
      <c r="A51" s="5" t="s">
        <v>184</v>
      </c>
      <c r="B51" s="5" t="s">
        <v>147</v>
      </c>
      <c r="C51" s="5" t="s">
        <v>148</v>
      </c>
      <c r="D51" s="5" t="s">
        <v>503</v>
      </c>
      <c r="E51" s="5" t="e">
        <f>VLOOKUP(D51,#REF!,1,0)</f>
        <v>#REF!</v>
      </c>
      <c r="F51" s="5" t="s">
        <v>504</v>
      </c>
      <c r="G51" s="5" t="s">
        <v>505</v>
      </c>
      <c r="H51" s="5" t="str">
        <f t="shared" si="0"/>
        <v>Yat Tung Kwan</v>
      </c>
      <c r="I51" s="5" t="e">
        <f>VLOOKUP(D51,#REF!,9,0)</f>
        <v>#REF!</v>
      </c>
      <c r="J51" s="5" t="e">
        <f t="shared" si="1"/>
        <v>#REF!</v>
      </c>
      <c r="K51" s="5" t="s">
        <v>506</v>
      </c>
      <c r="L51" s="5" t="s">
        <v>151</v>
      </c>
      <c r="M51" s="5" t="s">
        <v>507</v>
      </c>
      <c r="N51" s="10" t="e">
        <f>VLOOKUP(D51,#REF!,80,0)</f>
        <v>#REF!</v>
      </c>
      <c r="O51" s="11" t="e">
        <f t="shared" si="11"/>
        <v>#REF!</v>
      </c>
      <c r="P51" s="5" t="s">
        <v>365</v>
      </c>
      <c r="Q51" s="5" t="e">
        <f>VLOOKUP(D51,#REF!,50,0)</f>
        <v>#REF!</v>
      </c>
      <c r="R51" s="5" t="e">
        <f t="shared" si="12"/>
        <v>#REF!</v>
      </c>
      <c r="S51" s="5" t="s">
        <v>491</v>
      </c>
      <c r="T51" s="5" t="e">
        <f>VLOOKUP(D51,#REF!,21,0)</f>
        <v>#REF!</v>
      </c>
      <c r="U51" s="5" t="e">
        <f t="shared" si="13"/>
        <v>#REF!</v>
      </c>
      <c r="V51" s="5" t="s">
        <v>367</v>
      </c>
      <c r="W51" s="5" t="e">
        <f>VLOOKUP(D51,#REF!,51,0)</f>
        <v>#REF!</v>
      </c>
      <c r="X51" s="5" t="e">
        <f t="shared" si="14"/>
        <v>#REF!</v>
      </c>
      <c r="Y51" s="5" t="s">
        <v>192</v>
      </c>
      <c r="Z51" s="5" t="s">
        <v>193</v>
      </c>
      <c r="AA51" s="14">
        <v>1.85</v>
      </c>
      <c r="AB51" s="14">
        <v>27521</v>
      </c>
      <c r="AC51" s="14" t="e">
        <f>ROUND(VLOOKUP(D51,#REF!,59,0),0)</f>
        <v>#REF!</v>
      </c>
      <c r="AD51" s="14" t="e">
        <f t="shared" si="40"/>
        <v>#REF!</v>
      </c>
      <c r="AE51" s="14">
        <v>27521</v>
      </c>
      <c r="AF51" s="14">
        <f t="shared" si="41"/>
        <v>27521</v>
      </c>
      <c r="AG51" s="14">
        <f t="shared" si="42"/>
        <v>0</v>
      </c>
      <c r="AH51" s="14">
        <v>0</v>
      </c>
      <c r="AI51" s="14"/>
      <c r="AJ51" s="14"/>
      <c r="AK51" s="14">
        <v>0</v>
      </c>
      <c r="AL51" s="14"/>
      <c r="AM51" s="14"/>
      <c r="AN51" s="14">
        <v>0</v>
      </c>
      <c r="AO51" s="14">
        <v>2500</v>
      </c>
      <c r="AP51" s="14">
        <f>IFERROR(VLOOKUP('Feb for check'!D51,#REF!,15,0),0)</f>
        <v>0</v>
      </c>
      <c r="AQ51" s="14">
        <f t="shared" si="18"/>
        <v>-2500</v>
      </c>
      <c r="AR51" s="14">
        <v>2500</v>
      </c>
      <c r="AS51" s="14">
        <f t="shared" si="19"/>
        <v>2500</v>
      </c>
      <c r="AT51" s="14">
        <f t="shared" si="20"/>
        <v>0</v>
      </c>
      <c r="AU51" s="14">
        <v>0</v>
      </c>
      <c r="AV51" s="14"/>
      <c r="AW51" s="14">
        <v>0</v>
      </c>
      <c r="AX51" s="14"/>
      <c r="AY51" s="14">
        <v>0</v>
      </c>
      <c r="AZ51" s="14"/>
      <c r="BA51" s="14">
        <v>597.24</v>
      </c>
      <c r="BB51" s="14">
        <f>IFERROR(VLOOKUP(D51,#REF!,2,0),0)</f>
        <v>0</v>
      </c>
      <c r="BC51" s="14" t="e">
        <f>MAX(VLOOKUP(D51,#REF!,13,0)-VLOOKUP(D51,#REF!,14,0),0)</f>
        <v>#REF!</v>
      </c>
      <c r="BD51" s="14">
        <f>IFERROR(VLOOKUP(D51,#REF!,3,0),0)</f>
        <v>0</v>
      </c>
      <c r="BE51" s="14" t="e">
        <f>MAX(VLOOKUP(D51,#REF!,22,0)-VLOOKUP(D51,#REF!,23,0),0)</f>
        <v>#REF!</v>
      </c>
      <c r="BF51" s="14" t="e">
        <f t="shared" si="21"/>
        <v>#REF!</v>
      </c>
      <c r="BG51" s="14" t="e">
        <f t="shared" si="22"/>
        <v>#REF!</v>
      </c>
      <c r="BH51" s="14">
        <v>0</v>
      </c>
      <c r="BI51" s="14"/>
      <c r="BJ51" s="14"/>
      <c r="BK51" s="14">
        <v>0</v>
      </c>
      <c r="BL51" s="14">
        <f t="shared" si="23"/>
        <v>0</v>
      </c>
      <c r="BM51" s="14">
        <f t="shared" si="24"/>
        <v>0</v>
      </c>
      <c r="BN51" s="14">
        <v>0</v>
      </c>
      <c r="BO51" s="14"/>
      <c r="BP51" s="14"/>
      <c r="BQ51" s="14"/>
      <c r="BR51" s="14">
        <v>0</v>
      </c>
      <c r="BS51" s="14"/>
      <c r="BT51" s="14">
        <v>0</v>
      </c>
      <c r="BU51" s="14"/>
      <c r="BV51" s="14">
        <v>0</v>
      </c>
      <c r="BW51" s="14"/>
      <c r="BX51" s="14">
        <v>30618.240000000002</v>
      </c>
      <c r="BY51" s="14">
        <f t="shared" si="25"/>
        <v>30618.240000000002</v>
      </c>
      <c r="BZ51" s="14">
        <f t="shared" si="26"/>
        <v>0</v>
      </c>
      <c r="CA51" s="14">
        <v>28118.240000000002</v>
      </c>
      <c r="CB51" s="14">
        <f t="shared" si="27"/>
        <v>28118.240000000002</v>
      </c>
      <c r="CC51" s="14">
        <f t="shared" si="28"/>
        <v>0</v>
      </c>
      <c r="CD51" s="14">
        <v>0</v>
      </c>
      <c r="CE51" s="14"/>
      <c r="CF51" s="14"/>
      <c r="CG51" s="14">
        <v>0</v>
      </c>
      <c r="CH51" s="14"/>
      <c r="CI51" s="14">
        <v>986.99170000000004</v>
      </c>
      <c r="CJ51" s="14">
        <v>0</v>
      </c>
      <c r="CK51" s="14"/>
      <c r="CL51" s="14">
        <v>0</v>
      </c>
      <c r="CM51" s="14">
        <v>7.4999999999999997E-2</v>
      </c>
      <c r="CN51" s="14">
        <v>0</v>
      </c>
      <c r="CO51" s="14">
        <v>0</v>
      </c>
      <c r="CP51" s="14">
        <v>0</v>
      </c>
      <c r="CQ51" s="14"/>
      <c r="CR51" s="14">
        <v>0</v>
      </c>
      <c r="CS51" s="14"/>
      <c r="CT51" s="14">
        <v>1500</v>
      </c>
      <c r="CU51" s="14">
        <f t="shared" si="43"/>
        <v>1500</v>
      </c>
      <c r="CV51" s="14">
        <f t="shared" si="44"/>
        <v>0</v>
      </c>
      <c r="CW51" s="14">
        <v>0</v>
      </c>
      <c r="CX51" s="14">
        <f t="shared" si="31"/>
        <v>0</v>
      </c>
      <c r="CY51" s="14">
        <f t="shared" si="32"/>
        <v>0</v>
      </c>
      <c r="CZ51" s="14">
        <v>1500</v>
      </c>
      <c r="DA51" s="14">
        <f t="shared" si="33"/>
        <v>1500</v>
      </c>
      <c r="DB51" s="14">
        <f t="shared" si="34"/>
        <v>0</v>
      </c>
      <c r="DC51" s="14">
        <v>608.87</v>
      </c>
      <c r="DD51" s="14">
        <f t="shared" si="39"/>
        <v>608.87</v>
      </c>
      <c r="DE51" s="14">
        <f t="shared" si="35"/>
        <v>0</v>
      </c>
      <c r="DF51" s="14">
        <v>29118.240000000002</v>
      </c>
      <c r="DG51" s="14">
        <f t="shared" si="36"/>
        <v>29118.240000000002</v>
      </c>
      <c r="DH51" s="14">
        <f t="shared" si="37"/>
        <v>0</v>
      </c>
      <c r="DI51" s="14">
        <v>0</v>
      </c>
      <c r="DJ51" s="14">
        <f>IFERROR(VLOOKUP(D51,#REF!,2,0),0)</f>
        <v>0</v>
      </c>
      <c r="DK51" s="14">
        <f t="shared" si="38"/>
        <v>0</v>
      </c>
      <c r="DL51" s="14">
        <v>28118.240000000002</v>
      </c>
      <c r="DM51" s="14">
        <v>472563.16</v>
      </c>
      <c r="DN51" s="14">
        <v>2293.42</v>
      </c>
      <c r="DO51" s="14">
        <v>597.24</v>
      </c>
      <c r="DP51" s="14">
        <v>0</v>
      </c>
      <c r="DQ51" s="14">
        <v>30618.240000000002</v>
      </c>
      <c r="DR51" s="14">
        <v>28</v>
      </c>
      <c r="DS51" s="14">
        <v>0</v>
      </c>
      <c r="DT51" s="5" t="s">
        <v>206</v>
      </c>
      <c r="DU51" s="5" t="s">
        <v>195</v>
      </c>
      <c r="DV51" s="5" t="s">
        <v>196</v>
      </c>
      <c r="DW51" s="5" t="s">
        <v>197</v>
      </c>
    </row>
    <row r="52" spans="1:127" ht="16.5">
      <c r="A52" s="5" t="s">
        <v>184</v>
      </c>
      <c r="B52" s="5" t="s">
        <v>147</v>
      </c>
      <c r="C52" s="5" t="s">
        <v>148</v>
      </c>
      <c r="D52" s="5" t="s">
        <v>508</v>
      </c>
      <c r="E52" s="5" t="e">
        <f>VLOOKUP(D52,#REF!,1,0)</f>
        <v>#REF!</v>
      </c>
      <c r="F52" s="5" t="s">
        <v>230</v>
      </c>
      <c r="G52" s="5" t="s">
        <v>509</v>
      </c>
      <c r="H52" s="5" t="str">
        <f t="shared" si="0"/>
        <v>Yu Tung Gloria Chau</v>
      </c>
      <c r="I52" s="5" t="e">
        <f>VLOOKUP(D52,#REF!,9,0)</f>
        <v>#REF!</v>
      </c>
      <c r="J52" s="5" t="e">
        <f t="shared" si="1"/>
        <v>#REF!</v>
      </c>
      <c r="K52" s="5" t="s">
        <v>201</v>
      </c>
      <c r="L52" s="5" t="s">
        <v>151</v>
      </c>
      <c r="M52" s="5" t="s">
        <v>510</v>
      </c>
      <c r="N52" s="10" t="e">
        <f>VLOOKUP(D52,#REF!,80,0)</f>
        <v>#REF!</v>
      </c>
      <c r="O52" s="11" t="e">
        <f t="shared" si="11"/>
        <v>#REF!</v>
      </c>
      <c r="P52" s="5" t="s">
        <v>203</v>
      </c>
      <c r="Q52" s="5" t="e">
        <f>VLOOKUP(D52,#REF!,50,0)</f>
        <v>#REF!</v>
      </c>
      <c r="R52" s="5" t="e">
        <f t="shared" si="12"/>
        <v>#REF!</v>
      </c>
      <c r="S52" s="5" t="s">
        <v>511</v>
      </c>
      <c r="T52" s="5" t="e">
        <f>VLOOKUP(D52,#REF!,21,0)</f>
        <v>#REF!</v>
      </c>
      <c r="U52" s="5" t="e">
        <f t="shared" si="13"/>
        <v>#REF!</v>
      </c>
      <c r="V52" s="5" t="s">
        <v>205</v>
      </c>
      <c r="W52" s="5" t="e">
        <f>VLOOKUP(D52,#REF!,51,0)</f>
        <v>#REF!</v>
      </c>
      <c r="X52" s="5" t="e">
        <f t="shared" si="14"/>
        <v>#REF!</v>
      </c>
      <c r="Y52" s="5" t="s">
        <v>192</v>
      </c>
      <c r="Z52" s="5" t="s">
        <v>193</v>
      </c>
      <c r="AA52" s="14">
        <v>23.72</v>
      </c>
      <c r="AB52" s="14">
        <v>86000</v>
      </c>
      <c r="AC52" s="14" t="e">
        <f>ROUND(VLOOKUP(D52,#REF!,59,0),0)</f>
        <v>#REF!</v>
      </c>
      <c r="AD52" s="14" t="e">
        <f t="shared" si="40"/>
        <v>#REF!</v>
      </c>
      <c r="AE52" s="14">
        <v>86000</v>
      </c>
      <c r="AF52" s="14">
        <f t="shared" si="41"/>
        <v>86000</v>
      </c>
      <c r="AG52" s="14">
        <f t="shared" si="42"/>
        <v>0</v>
      </c>
      <c r="AH52" s="14">
        <v>0</v>
      </c>
      <c r="AI52" s="14"/>
      <c r="AJ52" s="14"/>
      <c r="AK52" s="14">
        <v>0</v>
      </c>
      <c r="AL52" s="14"/>
      <c r="AM52" s="14"/>
      <c r="AN52" s="14">
        <v>0</v>
      </c>
      <c r="AO52" s="14">
        <v>0</v>
      </c>
      <c r="AP52" s="14">
        <f>IFERROR(VLOOKUP('Feb for check'!D52,#REF!,15,0),0)</f>
        <v>0</v>
      </c>
      <c r="AQ52" s="14">
        <f t="shared" si="18"/>
        <v>0</v>
      </c>
      <c r="AR52" s="14">
        <v>0</v>
      </c>
      <c r="AS52" s="14">
        <f t="shared" si="19"/>
        <v>0</v>
      </c>
      <c r="AT52" s="14">
        <f t="shared" si="20"/>
        <v>0</v>
      </c>
      <c r="AU52" s="14">
        <v>0</v>
      </c>
      <c r="AV52" s="14"/>
      <c r="AW52" s="14">
        <v>0</v>
      </c>
      <c r="AX52" s="14"/>
      <c r="AY52" s="14">
        <v>0</v>
      </c>
      <c r="AZ52" s="14"/>
      <c r="BA52" s="14">
        <v>0</v>
      </c>
      <c r="BB52" s="14">
        <f>IFERROR(VLOOKUP(D52,#REF!,2,0),0)</f>
        <v>0</v>
      </c>
      <c r="BC52" s="14" t="e">
        <f>MAX(VLOOKUP(D52,#REF!,13,0)-VLOOKUP(D52,#REF!,14,0),0)</f>
        <v>#REF!</v>
      </c>
      <c r="BD52" s="14">
        <f>IFERROR(VLOOKUP(D52,#REF!,3,0),0)</f>
        <v>0</v>
      </c>
      <c r="BE52" s="14" t="e">
        <f>MAX(VLOOKUP(D52,#REF!,22,0)-VLOOKUP(D52,#REF!,23,0),0)</f>
        <v>#REF!</v>
      </c>
      <c r="BF52" s="14" t="e">
        <f t="shared" si="21"/>
        <v>#REF!</v>
      </c>
      <c r="BG52" s="14" t="e">
        <f t="shared" si="22"/>
        <v>#REF!</v>
      </c>
      <c r="BH52" s="14">
        <v>0</v>
      </c>
      <c r="BI52" s="14"/>
      <c r="BJ52" s="14"/>
      <c r="BK52" s="14">
        <v>0</v>
      </c>
      <c r="BL52" s="14">
        <f t="shared" si="23"/>
        <v>0</v>
      </c>
      <c r="BM52" s="14">
        <f t="shared" si="24"/>
        <v>0</v>
      </c>
      <c r="BN52" s="14">
        <v>0</v>
      </c>
      <c r="BO52" s="10" t="e">
        <f>VLOOKUP(D52,#REF!,84,0)</f>
        <v>#REF!</v>
      </c>
      <c r="BP52" s="14">
        <f>ROUND(AB52*(DATEDIF(M52,DATE(2025,1,1),"D"))/366,2)</f>
        <v>7754.1</v>
      </c>
      <c r="BQ52" s="10" t="s">
        <v>512</v>
      </c>
      <c r="BR52" s="14">
        <v>0</v>
      </c>
      <c r="BS52" s="14"/>
      <c r="BT52" s="14">
        <v>0</v>
      </c>
      <c r="BU52" s="14"/>
      <c r="BV52" s="14">
        <v>0</v>
      </c>
      <c r="BW52" s="14"/>
      <c r="BX52" s="14">
        <v>86000</v>
      </c>
      <c r="BY52" s="14">
        <f t="shared" si="25"/>
        <v>86000</v>
      </c>
      <c r="BZ52" s="14">
        <f t="shared" si="26"/>
        <v>0</v>
      </c>
      <c r="CA52" s="14">
        <v>86000</v>
      </c>
      <c r="CB52" s="14">
        <f t="shared" si="27"/>
        <v>86000</v>
      </c>
      <c r="CC52" s="14">
        <f t="shared" si="28"/>
        <v>0</v>
      </c>
      <c r="CD52" s="14">
        <v>0</v>
      </c>
      <c r="CE52" s="14"/>
      <c r="CF52" s="14"/>
      <c r="CG52" s="14">
        <v>0</v>
      </c>
      <c r="CH52" s="14"/>
      <c r="CI52" s="14">
        <v>2827.3971999999999</v>
      </c>
      <c r="CJ52" s="14">
        <v>0.05</v>
      </c>
      <c r="CK52" s="14"/>
      <c r="CL52" s="14">
        <v>0</v>
      </c>
      <c r="CM52" s="14">
        <v>0.1</v>
      </c>
      <c r="CN52" s="14">
        <v>0</v>
      </c>
      <c r="CO52" s="14">
        <v>0</v>
      </c>
      <c r="CP52" s="14">
        <v>0</v>
      </c>
      <c r="CQ52" s="14"/>
      <c r="CR52" s="14">
        <v>0</v>
      </c>
      <c r="CS52" s="14"/>
      <c r="CT52" s="14">
        <v>1500</v>
      </c>
      <c r="CU52" s="14">
        <f t="shared" si="43"/>
        <v>1500</v>
      </c>
      <c r="CV52" s="14">
        <f t="shared" si="44"/>
        <v>0</v>
      </c>
      <c r="CW52" s="14">
        <v>4300</v>
      </c>
      <c r="CX52" s="14">
        <f t="shared" si="31"/>
        <v>4300</v>
      </c>
      <c r="CY52" s="14">
        <f t="shared" si="32"/>
        <v>0</v>
      </c>
      <c r="CZ52" s="14">
        <v>1500</v>
      </c>
      <c r="DA52" s="14">
        <f t="shared" si="33"/>
        <v>1500</v>
      </c>
      <c r="DB52" s="14">
        <f t="shared" si="34"/>
        <v>0</v>
      </c>
      <c r="DC52" s="14">
        <v>7100</v>
      </c>
      <c r="DD52" s="14">
        <f t="shared" si="39"/>
        <v>7100</v>
      </c>
      <c r="DE52" s="14">
        <f t="shared" si="35"/>
        <v>0</v>
      </c>
      <c r="DF52" s="14">
        <v>80200</v>
      </c>
      <c r="DG52" s="14">
        <f t="shared" si="36"/>
        <v>80200</v>
      </c>
      <c r="DH52" s="14">
        <f t="shared" si="37"/>
        <v>0</v>
      </c>
      <c r="DI52" s="14">
        <v>0</v>
      </c>
      <c r="DJ52" s="14">
        <f>IFERROR(VLOOKUP(D52,#REF!,2,0),0)</f>
        <v>0</v>
      </c>
      <c r="DK52" s="14">
        <f t="shared" si="38"/>
        <v>0</v>
      </c>
      <c r="DL52" s="14">
        <v>86000</v>
      </c>
      <c r="DM52" s="14">
        <v>285671.33</v>
      </c>
      <c r="DN52" s="14">
        <v>7166.67</v>
      </c>
      <c r="DO52" s="14">
        <v>0</v>
      </c>
      <c r="DP52" s="14">
        <v>0</v>
      </c>
      <c r="DQ52" s="14">
        <v>86000</v>
      </c>
      <c r="DR52" s="14">
        <v>28</v>
      </c>
      <c r="DS52" s="14">
        <v>7754.1</v>
      </c>
      <c r="DT52" s="5" t="s">
        <v>206</v>
      </c>
      <c r="DU52" s="5" t="s">
        <v>195</v>
      </c>
      <c r="DV52" s="5" t="s">
        <v>196</v>
      </c>
      <c r="DW52" s="5" t="s">
        <v>197</v>
      </c>
    </row>
    <row r="53" spans="1:127" ht="16.5">
      <c r="A53" s="5" t="s">
        <v>184</v>
      </c>
      <c r="B53" s="5" t="s">
        <v>147</v>
      </c>
      <c r="C53" s="5" t="s">
        <v>148</v>
      </c>
      <c r="D53" s="5" t="s">
        <v>513</v>
      </c>
      <c r="E53" s="5" t="e">
        <f>VLOOKUP(D53,#REF!,1,0)</f>
        <v>#REF!</v>
      </c>
      <c r="F53" s="5" t="s">
        <v>264</v>
      </c>
      <c r="G53" s="5" t="s">
        <v>514</v>
      </c>
      <c r="H53" s="5" t="str">
        <f t="shared" si="0"/>
        <v>Hio Wa Wong</v>
      </c>
      <c r="I53" s="5" t="e">
        <f>VLOOKUP(D53,#REF!,9,0)</f>
        <v>#REF!</v>
      </c>
      <c r="J53" s="5" t="e">
        <f t="shared" si="1"/>
        <v>#REF!</v>
      </c>
      <c r="K53" s="5" t="s">
        <v>515</v>
      </c>
      <c r="L53" s="5" t="s">
        <v>151</v>
      </c>
      <c r="M53" s="5" t="s">
        <v>516</v>
      </c>
      <c r="N53" s="10" t="e">
        <f>VLOOKUP(D53,#REF!,80,0)</f>
        <v>#REF!</v>
      </c>
      <c r="O53" s="11" t="e">
        <f t="shared" si="11"/>
        <v>#REF!</v>
      </c>
      <c r="P53" s="5" t="s">
        <v>424</v>
      </c>
      <c r="Q53" s="5" t="e">
        <f>VLOOKUP(D53,#REF!,50,0)</f>
        <v>#REF!</v>
      </c>
      <c r="R53" s="5" t="e">
        <f t="shared" si="12"/>
        <v>#REF!</v>
      </c>
      <c r="S53" s="5" t="s">
        <v>460</v>
      </c>
      <c r="T53" s="5" t="e">
        <f>VLOOKUP(D53,#REF!,21,0)</f>
        <v>#REF!</v>
      </c>
      <c r="U53" s="5" t="e">
        <f t="shared" si="13"/>
        <v>#REF!</v>
      </c>
      <c r="V53" s="5" t="s">
        <v>426</v>
      </c>
      <c r="W53" s="5" t="e">
        <f>VLOOKUP(D53,#REF!,51,0)</f>
        <v>#REF!</v>
      </c>
      <c r="X53" s="5" t="e">
        <f t="shared" si="14"/>
        <v>#REF!</v>
      </c>
      <c r="Y53" s="5" t="s">
        <v>192</v>
      </c>
      <c r="Z53" s="5" t="s">
        <v>193</v>
      </c>
      <c r="AA53" s="14">
        <v>2.15</v>
      </c>
      <c r="AB53" s="14">
        <v>46534</v>
      </c>
      <c r="AC53" s="14" t="e">
        <f>ROUND(VLOOKUP(D53,#REF!,59,0),0)</f>
        <v>#REF!</v>
      </c>
      <c r="AD53" s="14" t="e">
        <f t="shared" si="40"/>
        <v>#REF!</v>
      </c>
      <c r="AE53" s="14">
        <v>46534</v>
      </c>
      <c r="AF53" s="14">
        <f t="shared" si="41"/>
        <v>46534</v>
      </c>
      <c r="AG53" s="14">
        <f t="shared" si="42"/>
        <v>0</v>
      </c>
      <c r="AH53" s="14">
        <v>0</v>
      </c>
      <c r="AI53" s="14"/>
      <c r="AJ53" s="14"/>
      <c r="AK53" s="14">
        <v>0</v>
      </c>
      <c r="AL53" s="14"/>
      <c r="AM53" s="14"/>
      <c r="AN53" s="14">
        <v>0</v>
      </c>
      <c r="AO53" s="14">
        <v>0</v>
      </c>
      <c r="AP53" s="14">
        <f>IFERROR(VLOOKUP('Feb for check'!D53,#REF!,15,0),0)</f>
        <v>0</v>
      </c>
      <c r="AQ53" s="14">
        <f t="shared" si="18"/>
        <v>0</v>
      </c>
      <c r="AR53" s="14">
        <v>0</v>
      </c>
      <c r="AS53" s="14">
        <f t="shared" si="19"/>
        <v>0</v>
      </c>
      <c r="AT53" s="14">
        <f t="shared" si="20"/>
        <v>0</v>
      </c>
      <c r="AU53" s="14">
        <v>0</v>
      </c>
      <c r="AV53" s="14"/>
      <c r="AW53" s="14">
        <v>0</v>
      </c>
      <c r="AX53" s="14"/>
      <c r="AY53" s="14">
        <v>0</v>
      </c>
      <c r="AZ53" s="14"/>
      <c r="BA53" s="14">
        <v>0</v>
      </c>
      <c r="BB53" s="14">
        <f>IFERROR(VLOOKUP(D53,#REF!,2,0),0)</f>
        <v>0</v>
      </c>
      <c r="BC53" s="14" t="e">
        <f>MAX(VLOOKUP(D53,#REF!,13,0)-VLOOKUP(D53,#REF!,14,0),0)</f>
        <v>#REF!</v>
      </c>
      <c r="BD53" s="14">
        <f>IFERROR(VLOOKUP(D53,#REF!,3,0),0)</f>
        <v>0</v>
      </c>
      <c r="BE53" s="14" t="e">
        <f>MAX(VLOOKUP(D53,#REF!,22,0)-VLOOKUP(D53,#REF!,23,0),0)</f>
        <v>#REF!</v>
      </c>
      <c r="BF53" s="14" t="e">
        <f t="shared" si="21"/>
        <v>#REF!</v>
      </c>
      <c r="BG53" s="14" t="e">
        <f t="shared" si="22"/>
        <v>#REF!</v>
      </c>
      <c r="BH53" s="14">
        <v>0</v>
      </c>
      <c r="BI53" s="14"/>
      <c r="BJ53" s="14"/>
      <c r="BK53" s="14">
        <v>1027</v>
      </c>
      <c r="BL53" s="14">
        <f t="shared" si="23"/>
        <v>1027</v>
      </c>
      <c r="BM53" s="14">
        <f t="shared" si="24"/>
        <v>0</v>
      </c>
      <c r="BN53" s="14">
        <v>0</v>
      </c>
      <c r="BO53" s="14"/>
      <c r="BP53" s="14"/>
      <c r="BQ53" s="14"/>
      <c r="BR53" s="14">
        <v>0</v>
      </c>
      <c r="BS53" s="14"/>
      <c r="BT53" s="14">
        <v>0</v>
      </c>
      <c r="BU53" s="14"/>
      <c r="BV53" s="14">
        <v>0</v>
      </c>
      <c r="BW53" s="14"/>
      <c r="BX53" s="14">
        <v>47561</v>
      </c>
      <c r="BY53" s="14">
        <f t="shared" si="25"/>
        <v>47561</v>
      </c>
      <c r="BZ53" s="14">
        <f t="shared" si="26"/>
        <v>0</v>
      </c>
      <c r="CA53" s="14">
        <v>46534</v>
      </c>
      <c r="CB53" s="14">
        <f t="shared" si="27"/>
        <v>46534</v>
      </c>
      <c r="CC53" s="14">
        <f t="shared" si="28"/>
        <v>0</v>
      </c>
      <c r="CD53" s="14">
        <v>0</v>
      </c>
      <c r="CE53" s="14"/>
      <c r="CF53" s="14"/>
      <c r="CG53" s="14">
        <v>0</v>
      </c>
      <c r="CH53" s="14"/>
      <c r="CI53" s="14">
        <v>1529.8849</v>
      </c>
      <c r="CJ53" s="14">
        <v>0</v>
      </c>
      <c r="CK53" s="14"/>
      <c r="CL53" s="14">
        <v>0</v>
      </c>
      <c r="CM53" s="14">
        <v>7.4999999999999997E-2</v>
      </c>
      <c r="CN53" s="14">
        <v>0</v>
      </c>
      <c r="CO53" s="14">
        <v>0</v>
      </c>
      <c r="CP53" s="14">
        <v>0</v>
      </c>
      <c r="CQ53" s="14"/>
      <c r="CR53" s="14">
        <v>0</v>
      </c>
      <c r="CS53" s="14"/>
      <c r="CT53" s="14">
        <v>1500</v>
      </c>
      <c r="CU53" s="14">
        <f t="shared" si="43"/>
        <v>1500</v>
      </c>
      <c r="CV53" s="14">
        <f t="shared" si="44"/>
        <v>0</v>
      </c>
      <c r="CW53" s="14">
        <v>0</v>
      </c>
      <c r="CX53" s="14">
        <f t="shared" si="31"/>
        <v>0</v>
      </c>
      <c r="CY53" s="14">
        <f t="shared" si="32"/>
        <v>0</v>
      </c>
      <c r="CZ53" s="14">
        <v>1500</v>
      </c>
      <c r="DA53" s="14">
        <f t="shared" si="33"/>
        <v>1500</v>
      </c>
      <c r="DB53" s="14">
        <f t="shared" si="34"/>
        <v>0</v>
      </c>
      <c r="DC53" s="14">
        <v>1990.05</v>
      </c>
      <c r="DD53" s="14">
        <f t="shared" si="39"/>
        <v>1990.05</v>
      </c>
      <c r="DE53" s="14">
        <f t="shared" si="35"/>
        <v>0</v>
      </c>
      <c r="DF53" s="14">
        <v>46061</v>
      </c>
      <c r="DG53" s="14">
        <f t="shared" si="36"/>
        <v>46061</v>
      </c>
      <c r="DH53" s="14">
        <f t="shared" si="37"/>
        <v>0</v>
      </c>
      <c r="DI53" s="14">
        <v>5012.0600000000004</v>
      </c>
      <c r="DJ53" s="14">
        <f>IFERROR(VLOOKUP(D53,#REF!,2,0),0)</f>
        <v>0</v>
      </c>
      <c r="DK53" s="14">
        <f t="shared" si="38"/>
        <v>-5012.0600000000004</v>
      </c>
      <c r="DL53" s="14">
        <v>47561</v>
      </c>
      <c r="DM53" s="14">
        <v>740183</v>
      </c>
      <c r="DN53" s="14">
        <v>3877.83</v>
      </c>
      <c r="DO53" s="14">
        <v>0</v>
      </c>
      <c r="DP53" s="14">
        <v>0</v>
      </c>
      <c r="DQ53" s="14">
        <v>46534</v>
      </c>
      <c r="DR53" s="14">
        <v>28</v>
      </c>
      <c r="DS53" s="14">
        <v>0</v>
      </c>
      <c r="DT53" s="5" t="s">
        <v>206</v>
      </c>
      <c r="DU53" s="5" t="s">
        <v>195</v>
      </c>
      <c r="DV53" s="5" t="s">
        <v>196</v>
      </c>
      <c r="DW53" s="5" t="s">
        <v>197</v>
      </c>
    </row>
    <row r="54" spans="1:127" ht="16.5">
      <c r="A54" s="5" t="s">
        <v>184</v>
      </c>
      <c r="B54" s="5" t="s">
        <v>147</v>
      </c>
      <c r="C54" s="5" t="s">
        <v>148</v>
      </c>
      <c r="D54" s="5" t="s">
        <v>517</v>
      </c>
      <c r="E54" s="5" t="e">
        <f>VLOOKUP(D54,#REF!,1,0)</f>
        <v>#REF!</v>
      </c>
      <c r="F54" s="5" t="s">
        <v>342</v>
      </c>
      <c r="G54" s="5" t="s">
        <v>518</v>
      </c>
      <c r="H54" s="5" t="str">
        <f t="shared" si="0"/>
        <v>Hin Lam Lee</v>
      </c>
      <c r="I54" s="5" t="e">
        <f>VLOOKUP(D54,#REF!,9,0)</f>
        <v>#REF!</v>
      </c>
      <c r="J54" s="5" t="e">
        <f t="shared" si="1"/>
        <v>#REF!</v>
      </c>
      <c r="K54" s="5" t="s">
        <v>519</v>
      </c>
      <c r="L54" s="5" t="s">
        <v>151</v>
      </c>
      <c r="M54" s="5" t="s">
        <v>520</v>
      </c>
      <c r="N54" s="10" t="e">
        <f>VLOOKUP(D54,#REF!,80,0)</f>
        <v>#REF!</v>
      </c>
      <c r="O54" s="11" t="e">
        <f t="shared" si="11"/>
        <v>#REF!</v>
      </c>
      <c r="P54" s="5" t="s">
        <v>521</v>
      </c>
      <c r="Q54" s="5" t="e">
        <f>VLOOKUP(D54,#REF!,50,0)</f>
        <v>#REF!</v>
      </c>
      <c r="R54" s="5" t="e">
        <f t="shared" si="12"/>
        <v>#REF!</v>
      </c>
      <c r="S54" s="5" t="s">
        <v>491</v>
      </c>
      <c r="T54" s="5" t="e">
        <f>VLOOKUP(D54,#REF!,21,0)</f>
        <v>#REF!</v>
      </c>
      <c r="U54" s="5" t="e">
        <f t="shared" si="13"/>
        <v>#REF!</v>
      </c>
      <c r="V54" s="5" t="s">
        <v>522</v>
      </c>
      <c r="W54" s="5" t="e">
        <f>VLOOKUP(D54,#REF!,51,0)</f>
        <v>#REF!</v>
      </c>
      <c r="X54" s="5" t="e">
        <f t="shared" si="14"/>
        <v>#REF!</v>
      </c>
      <c r="Y54" s="5" t="s">
        <v>192</v>
      </c>
      <c r="Z54" s="5" t="s">
        <v>193</v>
      </c>
      <c r="AA54" s="14">
        <v>1.01</v>
      </c>
      <c r="AB54" s="14">
        <v>29000</v>
      </c>
      <c r="AC54" s="14" t="e">
        <f>ROUND(VLOOKUP(D54,#REF!,59,0),0)</f>
        <v>#REF!</v>
      </c>
      <c r="AD54" s="14" t="e">
        <f t="shared" si="40"/>
        <v>#REF!</v>
      </c>
      <c r="AE54" s="14">
        <v>29000</v>
      </c>
      <c r="AF54" s="14">
        <f t="shared" si="41"/>
        <v>29000</v>
      </c>
      <c r="AG54" s="14">
        <f t="shared" si="42"/>
        <v>0</v>
      </c>
      <c r="AH54" s="14">
        <v>0</v>
      </c>
      <c r="AI54" s="14"/>
      <c r="AJ54" s="14"/>
      <c r="AK54" s="14">
        <v>0</v>
      </c>
      <c r="AL54" s="14"/>
      <c r="AM54" s="14"/>
      <c r="AN54" s="14">
        <v>0</v>
      </c>
      <c r="AO54" s="14">
        <v>2500</v>
      </c>
      <c r="AP54" s="14">
        <f>IFERROR(VLOOKUP('Feb for check'!D54,#REF!,15,0),0)</f>
        <v>0</v>
      </c>
      <c r="AQ54" s="14">
        <f t="shared" si="18"/>
        <v>-2500</v>
      </c>
      <c r="AR54" s="14">
        <v>2500</v>
      </c>
      <c r="AS54" s="14">
        <f t="shared" si="19"/>
        <v>2500</v>
      </c>
      <c r="AT54" s="14">
        <f t="shared" si="20"/>
        <v>0</v>
      </c>
      <c r="AU54" s="14">
        <v>0</v>
      </c>
      <c r="AV54" s="14"/>
      <c r="AW54" s="14">
        <v>0</v>
      </c>
      <c r="AX54" s="14"/>
      <c r="AY54" s="14">
        <v>0</v>
      </c>
      <c r="AZ54" s="14"/>
      <c r="BA54" s="14">
        <v>0</v>
      </c>
      <c r="BB54" s="14">
        <f>IFERROR(VLOOKUP(D54,#REF!,2,0),0)</f>
        <v>0</v>
      </c>
      <c r="BC54" s="14" t="e">
        <f>MAX(VLOOKUP(D54,#REF!,13,0)-VLOOKUP(D54,#REF!,14,0),0)</f>
        <v>#REF!</v>
      </c>
      <c r="BD54" s="14">
        <f>IFERROR(VLOOKUP(D54,#REF!,3,0),0)</f>
        <v>0</v>
      </c>
      <c r="BE54" s="14" t="e">
        <f>MAX(VLOOKUP(D54,#REF!,22,0)-VLOOKUP(D54,#REF!,23,0),0)</f>
        <v>#REF!</v>
      </c>
      <c r="BF54" s="14" t="e">
        <f t="shared" si="21"/>
        <v>#REF!</v>
      </c>
      <c r="BG54" s="14" t="e">
        <f t="shared" si="22"/>
        <v>#REF!</v>
      </c>
      <c r="BH54" s="14">
        <v>0</v>
      </c>
      <c r="BI54" s="14"/>
      <c r="BJ54" s="14"/>
      <c r="BK54" s="14">
        <v>0</v>
      </c>
      <c r="BL54" s="14">
        <f t="shared" si="23"/>
        <v>0</v>
      </c>
      <c r="BM54" s="14">
        <f t="shared" si="24"/>
        <v>0</v>
      </c>
      <c r="BN54" s="14">
        <v>0</v>
      </c>
      <c r="BO54" s="14"/>
      <c r="BP54" s="14"/>
      <c r="BQ54" s="14"/>
      <c r="BR54" s="14">
        <v>0</v>
      </c>
      <c r="BS54" s="14"/>
      <c r="BT54" s="14">
        <v>0</v>
      </c>
      <c r="BU54" s="14"/>
      <c r="BV54" s="14">
        <v>0</v>
      </c>
      <c r="BW54" s="14"/>
      <c r="BX54" s="14">
        <v>31500</v>
      </c>
      <c r="BY54" s="14">
        <f t="shared" si="25"/>
        <v>31500</v>
      </c>
      <c r="BZ54" s="14">
        <f t="shared" si="26"/>
        <v>0</v>
      </c>
      <c r="CA54" s="14">
        <v>29000</v>
      </c>
      <c r="CB54" s="14">
        <f t="shared" si="27"/>
        <v>29000</v>
      </c>
      <c r="CC54" s="14">
        <f t="shared" si="28"/>
        <v>0</v>
      </c>
      <c r="CD54" s="14">
        <v>0</v>
      </c>
      <c r="CE54" s="14"/>
      <c r="CF54" s="14"/>
      <c r="CG54" s="14">
        <v>0</v>
      </c>
      <c r="CH54" s="14"/>
      <c r="CI54" s="14">
        <v>1035.6164000000001</v>
      </c>
      <c r="CJ54" s="14">
        <v>0</v>
      </c>
      <c r="CK54" s="14"/>
      <c r="CL54" s="14">
        <v>0</v>
      </c>
      <c r="CM54" s="14">
        <v>7.4999999999999997E-2</v>
      </c>
      <c r="CN54" s="14">
        <v>0</v>
      </c>
      <c r="CO54" s="14">
        <v>0</v>
      </c>
      <c r="CP54" s="14">
        <v>0</v>
      </c>
      <c r="CQ54" s="14"/>
      <c r="CR54" s="14">
        <v>0</v>
      </c>
      <c r="CS54" s="14"/>
      <c r="CT54" s="14">
        <v>1500</v>
      </c>
      <c r="CU54" s="14">
        <f t="shared" si="43"/>
        <v>1500</v>
      </c>
      <c r="CV54" s="14">
        <f t="shared" si="44"/>
        <v>0</v>
      </c>
      <c r="CW54" s="14">
        <v>0</v>
      </c>
      <c r="CX54" s="14">
        <f t="shared" si="31"/>
        <v>0</v>
      </c>
      <c r="CY54" s="14">
        <f t="shared" si="32"/>
        <v>0</v>
      </c>
      <c r="CZ54" s="14">
        <v>1500</v>
      </c>
      <c r="DA54" s="14">
        <f t="shared" si="33"/>
        <v>1500</v>
      </c>
      <c r="DB54" s="14">
        <f t="shared" si="34"/>
        <v>0</v>
      </c>
      <c r="DC54" s="14">
        <v>675</v>
      </c>
      <c r="DD54" s="14">
        <f t="shared" si="39"/>
        <v>675</v>
      </c>
      <c r="DE54" s="14">
        <f t="shared" si="35"/>
        <v>0</v>
      </c>
      <c r="DF54" s="14">
        <v>30000</v>
      </c>
      <c r="DG54" s="14">
        <f t="shared" si="36"/>
        <v>30000</v>
      </c>
      <c r="DH54" s="14">
        <f t="shared" si="37"/>
        <v>0</v>
      </c>
      <c r="DI54" s="14">
        <v>0</v>
      </c>
      <c r="DJ54" s="14">
        <f>IFERROR(VLOOKUP(D54,#REF!,2,0),0)</f>
        <v>0</v>
      </c>
      <c r="DK54" s="14">
        <f t="shared" si="38"/>
        <v>0</v>
      </c>
      <c r="DL54" s="14">
        <v>29000</v>
      </c>
      <c r="DM54" s="14">
        <v>493617.09</v>
      </c>
      <c r="DN54" s="14">
        <v>2416.67</v>
      </c>
      <c r="DO54" s="14">
        <v>0</v>
      </c>
      <c r="DP54" s="14">
        <v>0</v>
      </c>
      <c r="DQ54" s="14">
        <v>31500</v>
      </c>
      <c r="DR54" s="14">
        <v>28</v>
      </c>
      <c r="DS54" s="14">
        <v>0</v>
      </c>
      <c r="DT54" s="5" t="s">
        <v>206</v>
      </c>
      <c r="DU54" s="5" t="s">
        <v>195</v>
      </c>
      <c r="DV54" s="5" t="s">
        <v>196</v>
      </c>
      <c r="DW54" s="5" t="s">
        <v>197</v>
      </c>
    </row>
    <row r="55" spans="1:127" ht="16.5">
      <c r="A55" s="5" t="s">
        <v>184</v>
      </c>
      <c r="B55" s="5" t="s">
        <v>147</v>
      </c>
      <c r="C55" s="5" t="s">
        <v>148</v>
      </c>
      <c r="D55" s="5" t="s">
        <v>523</v>
      </c>
      <c r="E55" s="5" t="e">
        <f>VLOOKUP(D55,#REF!,1,0)</f>
        <v>#REF!</v>
      </c>
      <c r="F55" s="5" t="s">
        <v>398</v>
      </c>
      <c r="G55" s="5" t="s">
        <v>524</v>
      </c>
      <c r="H55" s="5" t="str">
        <f t="shared" si="0"/>
        <v>Man See Mancy Lai</v>
      </c>
      <c r="I55" s="5" t="e">
        <f>VLOOKUP(D55,#REF!,9,0)</f>
        <v>#REF!</v>
      </c>
      <c r="J55" s="5" t="e">
        <f t="shared" si="1"/>
        <v>#REF!</v>
      </c>
      <c r="K55" s="5" t="s">
        <v>525</v>
      </c>
      <c r="L55" s="5" t="s">
        <v>151</v>
      </c>
      <c r="M55" s="5" t="s">
        <v>526</v>
      </c>
      <c r="N55" s="10" t="e">
        <f>VLOOKUP(D55,#REF!,80,0)</f>
        <v>#REF!</v>
      </c>
      <c r="O55" s="11" t="e">
        <f t="shared" si="11"/>
        <v>#REF!</v>
      </c>
      <c r="P55" s="5" t="s">
        <v>527</v>
      </c>
      <c r="Q55" s="5" t="e">
        <f>VLOOKUP(D55,#REF!,50,0)</f>
        <v>#REF!</v>
      </c>
      <c r="R55" s="5" t="e">
        <f t="shared" si="12"/>
        <v>#REF!</v>
      </c>
      <c r="S55" s="5" t="s">
        <v>528</v>
      </c>
      <c r="T55" s="5" t="e">
        <f>VLOOKUP(D55,#REF!,21,0)</f>
        <v>#REF!</v>
      </c>
      <c r="U55" s="5" t="e">
        <f t="shared" si="13"/>
        <v>#REF!</v>
      </c>
      <c r="V55" s="5" t="s">
        <v>529</v>
      </c>
      <c r="W55" s="5" t="e">
        <f>VLOOKUP(D55,#REF!,51,0)</f>
        <v>#REF!</v>
      </c>
      <c r="X55" s="5" t="e">
        <f t="shared" si="14"/>
        <v>#REF!</v>
      </c>
      <c r="Y55" s="5" t="s">
        <v>192</v>
      </c>
      <c r="Z55" s="5" t="s">
        <v>193</v>
      </c>
      <c r="AA55" s="14">
        <v>28</v>
      </c>
      <c r="AB55" s="14">
        <v>56538</v>
      </c>
      <c r="AC55" s="14" t="e">
        <f>ROUND(VLOOKUP(D55,#REF!,59,0),0)</f>
        <v>#REF!</v>
      </c>
      <c r="AD55" s="14" t="e">
        <f t="shared" si="40"/>
        <v>#REF!</v>
      </c>
      <c r="AE55" s="14">
        <v>56538</v>
      </c>
      <c r="AF55" s="14">
        <f t="shared" si="41"/>
        <v>56538</v>
      </c>
      <c r="AG55" s="14">
        <f t="shared" si="42"/>
        <v>0</v>
      </c>
      <c r="AH55" s="14">
        <v>0</v>
      </c>
      <c r="AI55" s="14"/>
      <c r="AJ55" s="14"/>
      <c r="AK55" s="14">
        <v>0</v>
      </c>
      <c r="AL55" s="14"/>
      <c r="AM55" s="14"/>
      <c r="AN55" s="14">
        <v>0</v>
      </c>
      <c r="AO55" s="14">
        <v>0</v>
      </c>
      <c r="AP55" s="14">
        <f>IFERROR(VLOOKUP('Feb for check'!D55,#REF!,15,0),0)</f>
        <v>0</v>
      </c>
      <c r="AQ55" s="14">
        <f t="shared" si="18"/>
        <v>0</v>
      </c>
      <c r="AR55" s="14">
        <v>0</v>
      </c>
      <c r="AS55" s="14">
        <f t="shared" si="19"/>
        <v>0</v>
      </c>
      <c r="AT55" s="14">
        <f t="shared" si="20"/>
        <v>0</v>
      </c>
      <c r="AU55" s="14">
        <v>0</v>
      </c>
      <c r="AV55" s="14"/>
      <c r="AW55" s="14">
        <v>0</v>
      </c>
      <c r="AX55" s="14"/>
      <c r="AY55" s="14">
        <v>0</v>
      </c>
      <c r="AZ55" s="14"/>
      <c r="BA55" s="14">
        <v>0</v>
      </c>
      <c r="BB55" s="14">
        <f>IFERROR(VLOOKUP(D55,#REF!,2,0),0)</f>
        <v>0</v>
      </c>
      <c r="BC55" s="14" t="e">
        <f>MAX(VLOOKUP(D55,#REF!,13,0)-VLOOKUP(D55,#REF!,14,0),0)</f>
        <v>#REF!</v>
      </c>
      <c r="BD55" s="14">
        <f>IFERROR(VLOOKUP(D55,#REF!,3,0),0)</f>
        <v>0</v>
      </c>
      <c r="BE55" s="14" t="e">
        <f>MAX(VLOOKUP(D55,#REF!,22,0)-VLOOKUP(D55,#REF!,23,0),0)</f>
        <v>#REF!</v>
      </c>
      <c r="BF55" s="14" t="e">
        <f t="shared" si="21"/>
        <v>#REF!</v>
      </c>
      <c r="BG55" s="14" t="e">
        <f t="shared" si="22"/>
        <v>#REF!</v>
      </c>
      <c r="BH55" s="14">
        <v>0</v>
      </c>
      <c r="BI55" s="14"/>
      <c r="BJ55" s="14"/>
      <c r="BK55" s="14">
        <v>917</v>
      </c>
      <c r="BL55" s="14">
        <f t="shared" si="23"/>
        <v>917</v>
      </c>
      <c r="BM55" s="14">
        <f t="shared" si="24"/>
        <v>0</v>
      </c>
      <c r="BN55" s="14">
        <v>0</v>
      </c>
      <c r="BO55" s="14"/>
      <c r="BP55" s="14"/>
      <c r="BQ55" s="14"/>
      <c r="BR55" s="14">
        <v>0</v>
      </c>
      <c r="BS55" s="14"/>
      <c r="BT55" s="14">
        <v>0</v>
      </c>
      <c r="BU55" s="14"/>
      <c r="BV55" s="14">
        <v>0</v>
      </c>
      <c r="BW55" s="14"/>
      <c r="BX55" s="14">
        <v>57455</v>
      </c>
      <c r="BY55" s="14">
        <f t="shared" si="25"/>
        <v>57455</v>
      </c>
      <c r="BZ55" s="14">
        <f t="shared" si="26"/>
        <v>0</v>
      </c>
      <c r="CA55" s="14">
        <v>56538</v>
      </c>
      <c r="CB55" s="14">
        <f t="shared" si="27"/>
        <v>56538</v>
      </c>
      <c r="CC55" s="14">
        <f t="shared" si="28"/>
        <v>0</v>
      </c>
      <c r="CD55" s="14">
        <v>0</v>
      </c>
      <c r="CE55" s="14"/>
      <c r="CF55" s="14"/>
      <c r="CG55" s="14">
        <v>0</v>
      </c>
      <c r="CH55" s="14"/>
      <c r="CI55" s="14">
        <v>1858.7835</v>
      </c>
      <c r="CJ55" s="14">
        <v>0.05</v>
      </c>
      <c r="CK55" s="14"/>
      <c r="CL55" s="14">
        <v>0</v>
      </c>
      <c r="CM55" s="14">
        <v>0.1</v>
      </c>
      <c r="CN55" s="14">
        <v>0</v>
      </c>
      <c r="CO55" s="14">
        <v>0</v>
      </c>
      <c r="CP55" s="14">
        <v>0</v>
      </c>
      <c r="CQ55" s="14"/>
      <c r="CR55" s="14">
        <v>0</v>
      </c>
      <c r="CS55" s="14"/>
      <c r="CT55" s="14">
        <v>0</v>
      </c>
      <c r="CU55" s="14">
        <f t="shared" si="43"/>
        <v>1500</v>
      </c>
      <c r="CV55" s="14" t="s">
        <v>530</v>
      </c>
      <c r="CW55" s="14">
        <v>0</v>
      </c>
      <c r="CX55" s="14">
        <f t="shared" si="31"/>
        <v>2826.9</v>
      </c>
      <c r="CY55" s="14" t="s">
        <v>530</v>
      </c>
      <c r="CZ55" s="14">
        <v>0</v>
      </c>
      <c r="DA55" s="14">
        <f t="shared" si="33"/>
        <v>1500</v>
      </c>
      <c r="DB55" s="14" t="s">
        <v>530</v>
      </c>
      <c r="DC55" s="14">
        <v>0</v>
      </c>
      <c r="DD55" s="14">
        <f t="shared" si="39"/>
        <v>5653.8</v>
      </c>
      <c r="DE55" s="14" t="s">
        <v>530</v>
      </c>
      <c r="DF55" s="14">
        <v>57455</v>
      </c>
      <c r="DG55" s="14">
        <f t="shared" si="36"/>
        <v>57455</v>
      </c>
      <c r="DH55" s="14">
        <f t="shared" si="37"/>
        <v>0</v>
      </c>
      <c r="DI55" s="14">
        <v>4475.8500000000004</v>
      </c>
      <c r="DJ55" s="14">
        <f>IFERROR(VLOOKUP(D55,#REF!,2,0),0)</f>
        <v>0</v>
      </c>
      <c r="DK55" s="14">
        <f t="shared" si="38"/>
        <v>-4475.8500000000004</v>
      </c>
      <c r="DL55" s="14">
        <v>57455</v>
      </c>
      <c r="DM55" s="14">
        <v>829774.81</v>
      </c>
      <c r="DN55" s="14">
        <v>4711.5</v>
      </c>
      <c r="DO55" s="14">
        <v>0</v>
      </c>
      <c r="DP55" s="14">
        <v>0</v>
      </c>
      <c r="DQ55" s="14">
        <v>56538</v>
      </c>
      <c r="DR55" s="14">
        <v>28</v>
      </c>
      <c r="DS55" s="14">
        <v>0</v>
      </c>
      <c r="DT55" s="5" t="s">
        <v>206</v>
      </c>
      <c r="DU55" s="5" t="s">
        <v>195</v>
      </c>
      <c r="DV55" s="5" t="s">
        <v>196</v>
      </c>
      <c r="DW55" s="5" t="s">
        <v>197</v>
      </c>
    </row>
    <row r="56" spans="1:127" ht="16.5">
      <c r="A56" s="5" t="s">
        <v>184</v>
      </c>
      <c r="B56" s="5" t="s">
        <v>147</v>
      </c>
      <c r="C56" s="5" t="s">
        <v>148</v>
      </c>
      <c r="D56" s="5" t="s">
        <v>531</v>
      </c>
      <c r="E56" s="5" t="e">
        <f>VLOOKUP(D56,#REF!,1,0)</f>
        <v>#REF!</v>
      </c>
      <c r="F56" s="5" t="s">
        <v>532</v>
      </c>
      <c r="G56" s="5" t="s">
        <v>533</v>
      </c>
      <c r="H56" s="5" t="str">
        <f t="shared" si="0"/>
        <v>Pei Shan Gu</v>
      </c>
      <c r="I56" s="5" t="e">
        <f>VLOOKUP(D56,#REF!,9,0)</f>
        <v>#REF!</v>
      </c>
      <c r="J56" s="5" t="e">
        <f t="shared" si="1"/>
        <v>#REF!</v>
      </c>
      <c r="K56" s="5" t="s">
        <v>400</v>
      </c>
      <c r="L56" s="5" t="s">
        <v>151</v>
      </c>
      <c r="M56" s="5" t="s">
        <v>534</v>
      </c>
      <c r="N56" s="10" t="e">
        <f>VLOOKUP(D56,#REF!,80,0)</f>
        <v>#REF!</v>
      </c>
      <c r="O56" s="11" t="e">
        <f t="shared" si="11"/>
        <v>#REF!</v>
      </c>
      <c r="P56" s="5" t="s">
        <v>218</v>
      </c>
      <c r="Q56" s="5" t="e">
        <f>VLOOKUP(D56,#REF!,50,0)</f>
        <v>#REF!</v>
      </c>
      <c r="R56" s="5" t="e">
        <f t="shared" si="12"/>
        <v>#REF!</v>
      </c>
      <c r="S56" s="5" t="s">
        <v>460</v>
      </c>
      <c r="T56" s="5" t="e">
        <f>VLOOKUP(D56,#REF!,21,0)</f>
        <v>#REF!</v>
      </c>
      <c r="U56" s="5" t="e">
        <f t="shared" si="13"/>
        <v>#REF!</v>
      </c>
      <c r="V56" s="5" t="s">
        <v>220</v>
      </c>
      <c r="W56" s="5" t="e">
        <f>VLOOKUP(D56,#REF!,51,0)</f>
        <v>#REF!</v>
      </c>
      <c r="X56" s="5" t="e">
        <f t="shared" si="14"/>
        <v>#REF!</v>
      </c>
      <c r="Y56" s="5" t="s">
        <v>192</v>
      </c>
      <c r="Z56" s="5" t="s">
        <v>193</v>
      </c>
      <c r="AA56" s="14">
        <v>9.5</v>
      </c>
      <c r="AB56" s="14">
        <v>49425</v>
      </c>
      <c r="AC56" s="14" t="e">
        <f>ROUND(VLOOKUP(D56,#REF!,59,0),0)</f>
        <v>#REF!</v>
      </c>
      <c r="AD56" s="14" t="e">
        <f t="shared" si="40"/>
        <v>#REF!</v>
      </c>
      <c r="AE56" s="14">
        <v>49425</v>
      </c>
      <c r="AF56" s="14">
        <f t="shared" si="41"/>
        <v>49425</v>
      </c>
      <c r="AG56" s="14">
        <f t="shared" si="42"/>
        <v>0</v>
      </c>
      <c r="AH56" s="14">
        <v>0</v>
      </c>
      <c r="AI56" s="14"/>
      <c r="AJ56" s="14"/>
      <c r="AK56" s="14">
        <v>0</v>
      </c>
      <c r="AL56" s="14"/>
      <c r="AM56" s="14"/>
      <c r="AN56" s="14">
        <v>0</v>
      </c>
      <c r="AO56" s="14">
        <v>0</v>
      </c>
      <c r="AP56" s="14">
        <f>IFERROR(VLOOKUP('Feb for check'!D56,#REF!,15,0),0)</f>
        <v>0</v>
      </c>
      <c r="AQ56" s="14">
        <f t="shared" si="18"/>
        <v>0</v>
      </c>
      <c r="AR56" s="14">
        <v>0</v>
      </c>
      <c r="AS56" s="14">
        <f t="shared" si="19"/>
        <v>0</v>
      </c>
      <c r="AT56" s="14">
        <f t="shared" si="20"/>
        <v>0</v>
      </c>
      <c r="AU56" s="14">
        <v>0</v>
      </c>
      <c r="AV56" s="14"/>
      <c r="AW56" s="14">
        <v>0</v>
      </c>
      <c r="AX56" s="14"/>
      <c r="AY56" s="14">
        <v>0</v>
      </c>
      <c r="AZ56" s="14"/>
      <c r="BA56" s="14">
        <v>0</v>
      </c>
      <c r="BB56" s="14">
        <f>IFERROR(VLOOKUP(D56,#REF!,2,0),0)</f>
        <v>0</v>
      </c>
      <c r="BC56" s="14" t="e">
        <f>MAX(VLOOKUP(D56,#REF!,13,0)-VLOOKUP(D56,#REF!,14,0),0)</f>
        <v>#REF!</v>
      </c>
      <c r="BD56" s="14">
        <f>IFERROR(VLOOKUP(D56,#REF!,3,0),0)</f>
        <v>0</v>
      </c>
      <c r="BE56" s="14" t="e">
        <f>MAX(VLOOKUP(D56,#REF!,22,0)-VLOOKUP(D56,#REF!,23,0),0)</f>
        <v>#REF!</v>
      </c>
      <c r="BF56" s="14" t="e">
        <f t="shared" si="21"/>
        <v>#REF!</v>
      </c>
      <c r="BG56" s="14" t="e">
        <f t="shared" si="22"/>
        <v>#REF!</v>
      </c>
      <c r="BH56" s="14">
        <v>0</v>
      </c>
      <c r="BI56" s="14"/>
      <c r="BJ56" s="14"/>
      <c r="BK56" s="14">
        <v>0</v>
      </c>
      <c r="BL56" s="14">
        <f t="shared" si="23"/>
        <v>0</v>
      </c>
      <c r="BM56" s="14">
        <f t="shared" si="24"/>
        <v>0</v>
      </c>
      <c r="BN56" s="14">
        <v>0</v>
      </c>
      <c r="BO56" s="14"/>
      <c r="BP56" s="14"/>
      <c r="BQ56" s="14"/>
      <c r="BR56" s="14">
        <v>0</v>
      </c>
      <c r="BS56" s="14"/>
      <c r="BT56" s="14">
        <v>0</v>
      </c>
      <c r="BU56" s="14"/>
      <c r="BV56" s="14">
        <v>0</v>
      </c>
      <c r="BW56" s="14"/>
      <c r="BX56" s="14">
        <v>49425</v>
      </c>
      <c r="BY56" s="14">
        <f t="shared" si="25"/>
        <v>49425</v>
      </c>
      <c r="BZ56" s="14">
        <f t="shared" si="26"/>
        <v>0</v>
      </c>
      <c r="CA56" s="14">
        <v>49425</v>
      </c>
      <c r="CB56" s="14">
        <f t="shared" si="27"/>
        <v>49425</v>
      </c>
      <c r="CC56" s="14">
        <f t="shared" si="28"/>
        <v>0</v>
      </c>
      <c r="CD56" s="14">
        <v>0</v>
      </c>
      <c r="CE56" s="14"/>
      <c r="CF56" s="14"/>
      <c r="CG56" s="14">
        <v>0</v>
      </c>
      <c r="CH56" s="14"/>
      <c r="CI56" s="14">
        <v>1624.9314999999999</v>
      </c>
      <c r="CJ56" s="14">
        <v>0</v>
      </c>
      <c r="CK56" s="14"/>
      <c r="CL56" s="14">
        <v>0</v>
      </c>
      <c r="CM56" s="14">
        <v>7.4999999999999997E-2</v>
      </c>
      <c r="CN56" s="14">
        <v>0</v>
      </c>
      <c r="CO56" s="14">
        <v>0</v>
      </c>
      <c r="CP56" s="14">
        <v>0</v>
      </c>
      <c r="CQ56" s="14"/>
      <c r="CR56" s="14">
        <v>0</v>
      </c>
      <c r="CS56" s="14"/>
      <c r="CT56" s="14">
        <v>1500</v>
      </c>
      <c r="CU56" s="14">
        <f t="shared" si="43"/>
        <v>1500</v>
      </c>
      <c r="CV56" s="14">
        <f t="shared" si="44"/>
        <v>0</v>
      </c>
      <c r="CW56" s="14">
        <v>0</v>
      </c>
      <c r="CX56" s="14">
        <f t="shared" si="31"/>
        <v>0</v>
      </c>
      <c r="CY56" s="14">
        <f t="shared" si="32"/>
        <v>0</v>
      </c>
      <c r="CZ56" s="14">
        <v>1500</v>
      </c>
      <c r="DA56" s="14">
        <f t="shared" si="33"/>
        <v>1500</v>
      </c>
      <c r="DB56" s="14">
        <f t="shared" si="34"/>
        <v>0</v>
      </c>
      <c r="DC56" s="14">
        <v>2206.88</v>
      </c>
      <c r="DD56" s="14">
        <f t="shared" si="39"/>
        <v>2206.88</v>
      </c>
      <c r="DE56" s="14">
        <f t="shared" si="35"/>
        <v>0</v>
      </c>
      <c r="DF56" s="14">
        <v>47925</v>
      </c>
      <c r="DG56" s="14">
        <f t="shared" si="36"/>
        <v>47925</v>
      </c>
      <c r="DH56" s="14">
        <f t="shared" si="37"/>
        <v>0</v>
      </c>
      <c r="DI56" s="14">
        <v>0</v>
      </c>
      <c r="DJ56" s="14">
        <f>IFERROR(VLOOKUP(D56,#REF!,2,0),0)</f>
        <v>0</v>
      </c>
      <c r="DK56" s="14">
        <f t="shared" si="38"/>
        <v>0</v>
      </c>
      <c r="DL56" s="14">
        <v>49425</v>
      </c>
      <c r="DM56" s="14">
        <v>809171.75</v>
      </c>
      <c r="DN56" s="14">
        <v>4118.75</v>
      </c>
      <c r="DO56" s="14">
        <v>0</v>
      </c>
      <c r="DP56" s="14">
        <v>0</v>
      </c>
      <c r="DQ56" s="14">
        <v>49425</v>
      </c>
      <c r="DR56" s="14">
        <v>28</v>
      </c>
      <c r="DS56" s="14">
        <v>0</v>
      </c>
      <c r="DT56" s="5" t="s">
        <v>206</v>
      </c>
      <c r="DU56" s="5" t="s">
        <v>195</v>
      </c>
      <c r="DV56" s="5" t="s">
        <v>196</v>
      </c>
      <c r="DW56" s="5" t="s">
        <v>197</v>
      </c>
    </row>
    <row r="57" spans="1:127" ht="16.5">
      <c r="A57" s="5" t="s">
        <v>184</v>
      </c>
      <c r="B57" s="5" t="s">
        <v>147</v>
      </c>
      <c r="C57" s="5" t="s">
        <v>148</v>
      </c>
      <c r="D57" s="5" t="s">
        <v>535</v>
      </c>
      <c r="E57" s="5" t="e">
        <f>VLOOKUP(D57,#REF!,1,0)</f>
        <v>#REF!</v>
      </c>
      <c r="F57" s="5" t="s">
        <v>536</v>
      </c>
      <c r="G57" s="5" t="s">
        <v>537</v>
      </c>
      <c r="H57" s="5" t="str">
        <f t="shared" si="0"/>
        <v>Che Lung Jen</v>
      </c>
      <c r="I57" s="5" t="e">
        <f>VLOOKUP(D57,#REF!,9,0)</f>
        <v>#REF!</v>
      </c>
      <c r="J57" s="5" t="e">
        <f t="shared" si="1"/>
        <v>#REF!</v>
      </c>
      <c r="K57" s="5" t="s">
        <v>477</v>
      </c>
      <c r="L57" s="5" t="s">
        <v>151</v>
      </c>
      <c r="M57" s="5" t="s">
        <v>538</v>
      </c>
      <c r="N57" s="10" t="e">
        <f>VLOOKUP(D57,#REF!,80,0)</f>
        <v>#REF!</v>
      </c>
      <c r="O57" s="11" t="e">
        <f t="shared" si="11"/>
        <v>#REF!</v>
      </c>
      <c r="P57" s="5" t="s">
        <v>479</v>
      </c>
      <c r="Q57" s="5" t="e">
        <f>VLOOKUP(D57,#REF!,50,0)</f>
        <v>#REF!</v>
      </c>
      <c r="R57" s="5" t="e">
        <f t="shared" si="12"/>
        <v>#REF!</v>
      </c>
      <c r="S57" s="5" t="s">
        <v>539</v>
      </c>
      <c r="T57" s="5" t="e">
        <f>VLOOKUP(D57,#REF!,21,0)</f>
        <v>#REF!</v>
      </c>
      <c r="U57" s="5" t="e">
        <f t="shared" si="13"/>
        <v>#REF!</v>
      </c>
      <c r="V57" s="5" t="s">
        <v>481</v>
      </c>
      <c r="W57" s="5" t="e">
        <f>VLOOKUP(D57,#REF!,51,0)</f>
        <v>#REF!</v>
      </c>
      <c r="X57" s="5" t="e">
        <f t="shared" si="14"/>
        <v>#REF!</v>
      </c>
      <c r="Y57" s="5" t="s">
        <v>192</v>
      </c>
      <c r="Z57" s="5" t="s">
        <v>193</v>
      </c>
      <c r="AA57" s="14">
        <v>7.75</v>
      </c>
      <c r="AB57" s="14">
        <v>84258</v>
      </c>
      <c r="AC57" s="14" t="e">
        <f>ROUND(VLOOKUP(D57,#REF!,59,0),0)</f>
        <v>#REF!</v>
      </c>
      <c r="AD57" s="14" t="e">
        <f t="shared" si="40"/>
        <v>#REF!</v>
      </c>
      <c r="AE57" s="14">
        <v>84258</v>
      </c>
      <c r="AF57" s="14">
        <f t="shared" si="41"/>
        <v>84258</v>
      </c>
      <c r="AG57" s="14">
        <f t="shared" si="42"/>
        <v>0</v>
      </c>
      <c r="AH57" s="14">
        <v>0</v>
      </c>
      <c r="AI57" s="14"/>
      <c r="AJ57" s="14"/>
      <c r="AK57" s="14">
        <v>0</v>
      </c>
      <c r="AL57" s="14"/>
      <c r="AM57" s="14"/>
      <c r="AN57" s="14">
        <v>0</v>
      </c>
      <c r="AO57" s="14">
        <v>0</v>
      </c>
      <c r="AP57" s="14">
        <f>IFERROR(VLOOKUP('Feb for check'!D57,#REF!,15,0),0)</f>
        <v>0</v>
      </c>
      <c r="AQ57" s="14">
        <f t="shared" si="18"/>
        <v>0</v>
      </c>
      <c r="AR57" s="14">
        <v>0</v>
      </c>
      <c r="AS57" s="14">
        <f t="shared" si="19"/>
        <v>0</v>
      </c>
      <c r="AT57" s="14">
        <f t="shared" si="20"/>
        <v>0</v>
      </c>
      <c r="AU57" s="14">
        <v>0</v>
      </c>
      <c r="AV57" s="14"/>
      <c r="AW57" s="14">
        <v>0</v>
      </c>
      <c r="AX57" s="14"/>
      <c r="AY57" s="14">
        <v>0</v>
      </c>
      <c r="AZ57" s="14"/>
      <c r="BA57" s="14">
        <v>3204.24</v>
      </c>
      <c r="BB57" s="14">
        <f>IFERROR(VLOOKUP(D57,#REF!,2,0),0)</f>
        <v>0</v>
      </c>
      <c r="BC57" s="14" t="e">
        <f>MAX(VLOOKUP(D57,#REF!,13,0)-VLOOKUP(D57,#REF!,14,0),0)</f>
        <v>#REF!</v>
      </c>
      <c r="BD57" s="14">
        <f>IFERROR(VLOOKUP(D57,#REF!,3,0),0)</f>
        <v>0</v>
      </c>
      <c r="BE57" s="14" t="e">
        <f>MAX(VLOOKUP(D57,#REF!,22,0)-VLOOKUP(D57,#REF!,23,0),0)</f>
        <v>#REF!</v>
      </c>
      <c r="BF57" s="14" t="e">
        <f t="shared" si="21"/>
        <v>#REF!</v>
      </c>
      <c r="BG57" s="14" t="e">
        <f t="shared" si="22"/>
        <v>#REF!</v>
      </c>
      <c r="BH57" s="14">
        <v>0</v>
      </c>
      <c r="BI57" s="14"/>
      <c r="BJ57" s="14"/>
      <c r="BK57" s="14">
        <v>2751</v>
      </c>
      <c r="BL57" s="14">
        <f t="shared" si="23"/>
        <v>2751</v>
      </c>
      <c r="BM57" s="14">
        <f t="shared" si="24"/>
        <v>0</v>
      </c>
      <c r="BN57" s="14">
        <v>0</v>
      </c>
      <c r="BO57" s="14"/>
      <c r="BP57" s="14"/>
      <c r="BQ57" s="14"/>
      <c r="BR57" s="14">
        <v>0</v>
      </c>
      <c r="BS57" s="14"/>
      <c r="BT57" s="14">
        <v>0</v>
      </c>
      <c r="BU57" s="14"/>
      <c r="BV57" s="14">
        <v>0</v>
      </c>
      <c r="BW57" s="14"/>
      <c r="BX57" s="14">
        <v>90213.24</v>
      </c>
      <c r="BY57" s="14">
        <f t="shared" si="25"/>
        <v>90213.24</v>
      </c>
      <c r="BZ57" s="14">
        <f t="shared" si="26"/>
        <v>0</v>
      </c>
      <c r="CA57" s="14">
        <v>87462.24</v>
      </c>
      <c r="CB57" s="14">
        <f t="shared" si="27"/>
        <v>87462.24</v>
      </c>
      <c r="CC57" s="14">
        <f t="shared" si="28"/>
        <v>0</v>
      </c>
      <c r="CD57" s="14">
        <v>0</v>
      </c>
      <c r="CE57" s="14"/>
      <c r="CF57" s="14"/>
      <c r="CG57" s="14">
        <v>0</v>
      </c>
      <c r="CH57" s="14"/>
      <c r="CI57" s="14">
        <v>2770.1260000000002</v>
      </c>
      <c r="CJ57" s="14">
        <v>0</v>
      </c>
      <c r="CK57" s="14"/>
      <c r="CL57" s="14">
        <v>0</v>
      </c>
      <c r="CM57" s="14">
        <v>7.4999999999999997E-2</v>
      </c>
      <c r="CN57" s="14">
        <v>0</v>
      </c>
      <c r="CO57" s="14">
        <v>0</v>
      </c>
      <c r="CP57" s="14">
        <v>0</v>
      </c>
      <c r="CQ57" s="14"/>
      <c r="CR57" s="14">
        <v>0</v>
      </c>
      <c r="CS57" s="14"/>
      <c r="CT57" s="14">
        <v>1500</v>
      </c>
      <c r="CU57" s="14">
        <f t="shared" si="43"/>
        <v>1500</v>
      </c>
      <c r="CV57" s="14">
        <f t="shared" si="44"/>
        <v>0</v>
      </c>
      <c r="CW57" s="14">
        <v>0</v>
      </c>
      <c r="CX57" s="14">
        <f t="shared" si="31"/>
        <v>0</v>
      </c>
      <c r="CY57" s="14">
        <f t="shared" si="32"/>
        <v>0</v>
      </c>
      <c r="CZ57" s="14">
        <v>1500</v>
      </c>
      <c r="DA57" s="14">
        <f t="shared" si="33"/>
        <v>1500</v>
      </c>
      <c r="DB57" s="14">
        <f t="shared" si="34"/>
        <v>0</v>
      </c>
      <c r="DC57" s="14">
        <v>5059.67</v>
      </c>
      <c r="DD57" s="14">
        <f t="shared" si="39"/>
        <v>5059.67</v>
      </c>
      <c r="DE57" s="14">
        <f t="shared" si="35"/>
        <v>0</v>
      </c>
      <c r="DF57" s="14">
        <v>88713.24</v>
      </c>
      <c r="DG57" s="14">
        <f t="shared" si="36"/>
        <v>88713.24</v>
      </c>
      <c r="DH57" s="14">
        <f t="shared" si="37"/>
        <v>0</v>
      </c>
      <c r="DI57" s="14">
        <v>13427.55</v>
      </c>
      <c r="DJ57" s="14">
        <f>IFERROR(VLOOKUP(D57,#REF!,2,0),0)</f>
        <v>0</v>
      </c>
      <c r="DK57" s="14">
        <f t="shared" si="38"/>
        <v>-13427.55</v>
      </c>
      <c r="DL57" s="14">
        <v>90213.24</v>
      </c>
      <c r="DM57" s="14">
        <v>1501093.16</v>
      </c>
      <c r="DN57" s="14">
        <v>7021.5</v>
      </c>
      <c r="DO57" s="14">
        <v>3204.24</v>
      </c>
      <c r="DP57" s="14">
        <v>0</v>
      </c>
      <c r="DQ57" s="14">
        <v>87462.24</v>
      </c>
      <c r="DR57" s="14">
        <v>28</v>
      </c>
      <c r="DS57" s="14">
        <v>0</v>
      </c>
      <c r="DT57" s="5" t="s">
        <v>206</v>
      </c>
      <c r="DU57" s="5" t="s">
        <v>195</v>
      </c>
      <c r="DV57" s="5" t="s">
        <v>196</v>
      </c>
      <c r="DW57" s="5" t="s">
        <v>197</v>
      </c>
    </row>
    <row r="58" spans="1:127" ht="16.5">
      <c r="A58" s="5" t="s">
        <v>184</v>
      </c>
      <c r="B58" s="5" t="s">
        <v>147</v>
      </c>
      <c r="C58" s="5" t="s">
        <v>148</v>
      </c>
      <c r="D58" s="5" t="s">
        <v>540</v>
      </c>
      <c r="E58" s="5" t="e">
        <f>VLOOKUP(D58,#REF!,1,0)</f>
        <v>#REF!</v>
      </c>
      <c r="F58" s="5" t="s">
        <v>541</v>
      </c>
      <c r="G58" s="5" t="s">
        <v>542</v>
      </c>
      <c r="H58" s="5" t="str">
        <f t="shared" si="0"/>
        <v>Sze Wai Ma</v>
      </c>
      <c r="I58" s="5" t="e">
        <f>VLOOKUP(D58,#REF!,9,0)</f>
        <v>#REF!</v>
      </c>
      <c r="J58" s="5" t="s">
        <v>543</v>
      </c>
      <c r="K58" s="5" t="s">
        <v>544</v>
      </c>
      <c r="L58" s="5" t="s">
        <v>151</v>
      </c>
      <c r="M58" s="5" t="s">
        <v>545</v>
      </c>
      <c r="N58" s="10" t="e">
        <f>VLOOKUP(D58,#REF!,80,0)</f>
        <v>#REF!</v>
      </c>
      <c r="O58" s="11" t="e">
        <f t="shared" si="11"/>
        <v>#REF!</v>
      </c>
      <c r="P58" s="5" t="s">
        <v>365</v>
      </c>
      <c r="Q58" s="5" t="e">
        <f>VLOOKUP(D58,#REF!,50,0)</f>
        <v>#REF!</v>
      </c>
      <c r="R58" s="5" t="e">
        <f t="shared" si="12"/>
        <v>#REF!</v>
      </c>
      <c r="S58" s="5" t="s">
        <v>491</v>
      </c>
      <c r="T58" s="5" t="e">
        <f>VLOOKUP(D58,#REF!,21,0)</f>
        <v>#REF!</v>
      </c>
      <c r="U58" s="5" t="e">
        <f t="shared" si="13"/>
        <v>#REF!</v>
      </c>
      <c r="V58" s="5" t="s">
        <v>367</v>
      </c>
      <c r="W58" s="5" t="e">
        <f>VLOOKUP(D58,#REF!,51,0)</f>
        <v>#REF!</v>
      </c>
      <c r="X58" s="5" t="e">
        <f t="shared" si="14"/>
        <v>#REF!</v>
      </c>
      <c r="Y58" s="5" t="s">
        <v>192</v>
      </c>
      <c r="Z58" s="5" t="s">
        <v>193</v>
      </c>
      <c r="AA58" s="14">
        <v>1.91</v>
      </c>
      <c r="AB58" s="14">
        <v>27944</v>
      </c>
      <c r="AC58" s="14" t="e">
        <f>ROUND(VLOOKUP(D58,#REF!,59,0),0)</f>
        <v>#REF!</v>
      </c>
      <c r="AD58" s="14" t="e">
        <f t="shared" si="40"/>
        <v>#REF!</v>
      </c>
      <c r="AE58" s="14">
        <v>27944</v>
      </c>
      <c r="AF58" s="14">
        <f t="shared" si="41"/>
        <v>27944</v>
      </c>
      <c r="AG58" s="14">
        <f t="shared" si="42"/>
        <v>0</v>
      </c>
      <c r="AH58" s="14">
        <v>0</v>
      </c>
      <c r="AI58" s="14"/>
      <c r="AJ58" s="14"/>
      <c r="AK58" s="14">
        <v>0</v>
      </c>
      <c r="AL58" s="14"/>
      <c r="AM58" s="14"/>
      <c r="AN58" s="14">
        <v>0</v>
      </c>
      <c r="AO58" s="14">
        <v>2500</v>
      </c>
      <c r="AP58" s="14">
        <f>IFERROR(VLOOKUP('Feb for check'!D58,#REF!,15,0),0)</f>
        <v>0</v>
      </c>
      <c r="AQ58" s="14">
        <f t="shared" si="18"/>
        <v>-2500</v>
      </c>
      <c r="AR58" s="14">
        <v>2500</v>
      </c>
      <c r="AS58" s="14">
        <f t="shared" si="19"/>
        <v>2500</v>
      </c>
      <c r="AT58" s="14">
        <f t="shared" si="20"/>
        <v>0</v>
      </c>
      <c r="AU58" s="14">
        <v>0</v>
      </c>
      <c r="AV58" s="14"/>
      <c r="AW58" s="14">
        <v>0</v>
      </c>
      <c r="AX58" s="14"/>
      <c r="AY58" s="14">
        <v>0</v>
      </c>
      <c r="AZ58" s="14"/>
      <c r="BA58" s="14">
        <v>0</v>
      </c>
      <c r="BB58" s="14">
        <f>IFERROR(VLOOKUP(D58,#REF!,2,0),0)</f>
        <v>0</v>
      </c>
      <c r="BC58" s="14" t="e">
        <f>MAX(VLOOKUP(D58,#REF!,13,0)-VLOOKUP(D58,#REF!,14,0),0)</f>
        <v>#REF!</v>
      </c>
      <c r="BD58" s="14">
        <f>IFERROR(VLOOKUP(D58,#REF!,3,0),0)</f>
        <v>0</v>
      </c>
      <c r="BE58" s="14" t="e">
        <f>MAX(VLOOKUP(D58,#REF!,22,0)-VLOOKUP(D58,#REF!,23,0),0)</f>
        <v>#REF!</v>
      </c>
      <c r="BF58" s="14" t="e">
        <f t="shared" si="21"/>
        <v>#REF!</v>
      </c>
      <c r="BG58" s="14" t="e">
        <f t="shared" si="22"/>
        <v>#REF!</v>
      </c>
      <c r="BH58" s="14">
        <v>0</v>
      </c>
      <c r="BI58" s="14"/>
      <c r="BJ58" s="14"/>
      <c r="BK58" s="14">
        <v>0</v>
      </c>
      <c r="BL58" s="14">
        <f t="shared" si="23"/>
        <v>0</v>
      </c>
      <c r="BM58" s="14">
        <f t="shared" si="24"/>
        <v>0</v>
      </c>
      <c r="BN58" s="14">
        <v>0</v>
      </c>
      <c r="BO58" s="14"/>
      <c r="BP58" s="14"/>
      <c r="BQ58" s="14"/>
      <c r="BR58" s="14">
        <v>0</v>
      </c>
      <c r="BS58" s="14"/>
      <c r="BT58" s="14">
        <v>0</v>
      </c>
      <c r="BU58" s="14"/>
      <c r="BV58" s="14">
        <v>0</v>
      </c>
      <c r="BW58" s="14"/>
      <c r="BX58" s="14">
        <v>30444</v>
      </c>
      <c r="BY58" s="14">
        <f t="shared" si="25"/>
        <v>30444</v>
      </c>
      <c r="BZ58" s="14">
        <f t="shared" si="26"/>
        <v>0</v>
      </c>
      <c r="CA58" s="14">
        <v>27944</v>
      </c>
      <c r="CB58" s="14">
        <f t="shared" si="27"/>
        <v>27944</v>
      </c>
      <c r="CC58" s="14">
        <f t="shared" si="28"/>
        <v>0</v>
      </c>
      <c r="CD58" s="14">
        <v>0</v>
      </c>
      <c r="CE58" s="14"/>
      <c r="CF58" s="14"/>
      <c r="CG58" s="14">
        <v>0</v>
      </c>
      <c r="CH58" s="14"/>
      <c r="CI58" s="14">
        <v>1000.8986</v>
      </c>
      <c r="CJ58" s="14">
        <v>0</v>
      </c>
      <c r="CK58" s="14"/>
      <c r="CL58" s="14">
        <v>0</v>
      </c>
      <c r="CM58" s="14">
        <v>7.4999999999999997E-2</v>
      </c>
      <c r="CN58" s="14">
        <v>0</v>
      </c>
      <c r="CO58" s="14">
        <v>0</v>
      </c>
      <c r="CP58" s="14">
        <v>0</v>
      </c>
      <c r="CQ58" s="14"/>
      <c r="CR58" s="14">
        <v>0</v>
      </c>
      <c r="CS58" s="14"/>
      <c r="CT58" s="14">
        <v>1500</v>
      </c>
      <c r="CU58" s="14">
        <f t="shared" si="43"/>
        <v>1500</v>
      </c>
      <c r="CV58" s="14">
        <f t="shared" si="44"/>
        <v>0</v>
      </c>
      <c r="CW58" s="14">
        <v>0</v>
      </c>
      <c r="CX58" s="14">
        <f t="shared" si="31"/>
        <v>0</v>
      </c>
      <c r="CY58" s="14">
        <f t="shared" si="32"/>
        <v>0</v>
      </c>
      <c r="CZ58" s="14">
        <v>1500</v>
      </c>
      <c r="DA58" s="14">
        <f t="shared" si="33"/>
        <v>1500</v>
      </c>
      <c r="DB58" s="14">
        <f t="shared" si="34"/>
        <v>0</v>
      </c>
      <c r="DC58" s="14">
        <v>595.79999999999995</v>
      </c>
      <c r="DD58" s="14">
        <f t="shared" si="39"/>
        <v>595.79999999999995</v>
      </c>
      <c r="DE58" s="14">
        <f t="shared" si="35"/>
        <v>0</v>
      </c>
      <c r="DF58" s="14">
        <v>28944</v>
      </c>
      <c r="DG58" s="14">
        <f t="shared" si="36"/>
        <v>28944</v>
      </c>
      <c r="DH58" s="14">
        <f t="shared" si="37"/>
        <v>0</v>
      </c>
      <c r="DI58" s="14">
        <v>0</v>
      </c>
      <c r="DJ58" s="14">
        <f>IFERROR(VLOOKUP(D58,#REF!,2,0),0)</f>
        <v>0</v>
      </c>
      <c r="DK58" s="14">
        <f t="shared" si="38"/>
        <v>0</v>
      </c>
      <c r="DL58" s="14">
        <v>27944</v>
      </c>
      <c r="DM58" s="14">
        <v>518516.5</v>
      </c>
      <c r="DN58" s="14">
        <v>2328.67</v>
      </c>
      <c r="DO58" s="14">
        <v>0</v>
      </c>
      <c r="DP58" s="14">
        <v>0</v>
      </c>
      <c r="DQ58" s="14">
        <v>30444</v>
      </c>
      <c r="DR58" s="14">
        <v>28</v>
      </c>
      <c r="DS58" s="14">
        <v>0</v>
      </c>
      <c r="DT58" s="5" t="s">
        <v>206</v>
      </c>
      <c r="DU58" s="5" t="s">
        <v>195</v>
      </c>
      <c r="DV58" s="5" t="s">
        <v>196</v>
      </c>
      <c r="DW58" s="5" t="s">
        <v>197</v>
      </c>
    </row>
    <row r="59" spans="1:127" ht="16.5">
      <c r="A59" s="5" t="s">
        <v>184</v>
      </c>
      <c r="B59" s="5" t="s">
        <v>147</v>
      </c>
      <c r="C59" s="5" t="s">
        <v>148</v>
      </c>
      <c r="D59" s="5" t="s">
        <v>546</v>
      </c>
      <c r="E59" s="5" t="e">
        <f>VLOOKUP(D59,#REF!,1,0)</f>
        <v>#REF!</v>
      </c>
      <c r="F59" s="5" t="s">
        <v>342</v>
      </c>
      <c r="G59" s="5" t="s">
        <v>547</v>
      </c>
      <c r="H59" s="5" t="str">
        <f t="shared" si="0"/>
        <v>Pui Shan Lee</v>
      </c>
      <c r="I59" s="5" t="e">
        <f>VLOOKUP(D59,#REF!,9,0)</f>
        <v>#REF!</v>
      </c>
      <c r="J59" s="5" t="e">
        <f t="shared" si="1"/>
        <v>#REF!</v>
      </c>
      <c r="K59" s="5" t="s">
        <v>548</v>
      </c>
      <c r="L59" s="5" t="s">
        <v>151</v>
      </c>
      <c r="M59" s="5" t="s">
        <v>549</v>
      </c>
      <c r="N59" s="10" t="e">
        <f>VLOOKUP(D59,#REF!,80,0)</f>
        <v>#REF!</v>
      </c>
      <c r="O59" s="11" t="e">
        <f t="shared" si="11"/>
        <v>#REF!</v>
      </c>
      <c r="P59" s="5" t="s">
        <v>550</v>
      </c>
      <c r="Q59" s="5" t="e">
        <f>VLOOKUP(D59,#REF!,50,0)</f>
        <v>#REF!</v>
      </c>
      <c r="R59" s="5" t="e">
        <f t="shared" si="12"/>
        <v>#REF!</v>
      </c>
      <c r="S59" s="5" t="s">
        <v>551</v>
      </c>
      <c r="T59" s="5" t="e">
        <f>VLOOKUP(D59,#REF!,21,0)</f>
        <v>#REF!</v>
      </c>
      <c r="U59" s="5" t="e">
        <f t="shared" si="13"/>
        <v>#REF!</v>
      </c>
      <c r="V59" s="5" t="s">
        <v>552</v>
      </c>
      <c r="W59" s="5" t="e">
        <f>VLOOKUP(D59,#REF!,51,0)</f>
        <v>#REF!</v>
      </c>
      <c r="X59" s="5" t="e">
        <f t="shared" si="14"/>
        <v>#REF!</v>
      </c>
      <c r="Y59" s="5" t="s">
        <v>192</v>
      </c>
      <c r="Z59" s="5" t="s">
        <v>193</v>
      </c>
      <c r="AA59" s="14">
        <v>6.62</v>
      </c>
      <c r="AB59" s="14">
        <v>43640</v>
      </c>
      <c r="AC59" s="14" t="e">
        <f>ROUND(VLOOKUP(D59,#REF!,59,0),0)</f>
        <v>#REF!</v>
      </c>
      <c r="AD59" s="14" t="e">
        <f t="shared" si="40"/>
        <v>#REF!</v>
      </c>
      <c r="AE59" s="14">
        <v>43640</v>
      </c>
      <c r="AF59" s="14">
        <f t="shared" si="41"/>
        <v>43640</v>
      </c>
      <c r="AG59" s="14">
        <f t="shared" si="42"/>
        <v>0</v>
      </c>
      <c r="AH59" s="14">
        <v>0</v>
      </c>
      <c r="AI59" s="14"/>
      <c r="AJ59" s="14"/>
      <c r="AK59" s="14">
        <v>0</v>
      </c>
      <c r="AL59" s="14"/>
      <c r="AM59" s="14"/>
      <c r="AN59" s="14">
        <v>0</v>
      </c>
      <c r="AO59" s="14">
        <v>0</v>
      </c>
      <c r="AP59" s="14">
        <f>IFERROR(VLOOKUP('Feb for check'!D59,#REF!,15,0),0)</f>
        <v>0</v>
      </c>
      <c r="AQ59" s="14">
        <f t="shared" si="18"/>
        <v>0</v>
      </c>
      <c r="AR59" s="14">
        <v>0</v>
      </c>
      <c r="AS59" s="14">
        <f t="shared" si="19"/>
        <v>0</v>
      </c>
      <c r="AT59" s="14">
        <f t="shared" si="20"/>
        <v>0</v>
      </c>
      <c r="AU59" s="14">
        <v>0</v>
      </c>
      <c r="AV59" s="14"/>
      <c r="AW59" s="14">
        <v>0</v>
      </c>
      <c r="AX59" s="14"/>
      <c r="AY59" s="14">
        <v>0</v>
      </c>
      <c r="AZ59" s="14"/>
      <c r="BA59" s="14">
        <v>0</v>
      </c>
      <c r="BB59" s="14">
        <f>IFERROR(VLOOKUP(D59,#REF!,2,0),0)</f>
        <v>0</v>
      </c>
      <c r="BC59" s="14" t="e">
        <f>MAX(VLOOKUP(D59,#REF!,13,0)-VLOOKUP(D59,#REF!,14,0),0)</f>
        <v>#REF!</v>
      </c>
      <c r="BD59" s="14">
        <f>IFERROR(VLOOKUP(D59,#REF!,3,0),0)</f>
        <v>0</v>
      </c>
      <c r="BE59" s="14" t="e">
        <f>MAX(VLOOKUP(D59,#REF!,22,0)-VLOOKUP(D59,#REF!,23,0),0)</f>
        <v>#REF!</v>
      </c>
      <c r="BF59" s="14" t="e">
        <f t="shared" si="21"/>
        <v>#REF!</v>
      </c>
      <c r="BG59" s="14" t="e">
        <f t="shared" si="22"/>
        <v>#REF!</v>
      </c>
      <c r="BH59" s="14">
        <v>0</v>
      </c>
      <c r="BI59" s="14"/>
      <c r="BJ59" s="14"/>
      <c r="BK59" s="14">
        <v>110</v>
      </c>
      <c r="BL59" s="14">
        <f t="shared" si="23"/>
        <v>110</v>
      </c>
      <c r="BM59" s="14">
        <f t="shared" si="24"/>
        <v>0</v>
      </c>
      <c r="BN59" s="14">
        <v>0</v>
      </c>
      <c r="BO59" s="14"/>
      <c r="BP59" s="14"/>
      <c r="BQ59" s="14"/>
      <c r="BR59" s="14">
        <v>0</v>
      </c>
      <c r="BS59" s="14"/>
      <c r="BT59" s="14">
        <v>0</v>
      </c>
      <c r="BU59" s="14"/>
      <c r="BV59" s="14">
        <v>0</v>
      </c>
      <c r="BW59" s="14"/>
      <c r="BX59" s="14">
        <v>43750</v>
      </c>
      <c r="BY59" s="14">
        <f t="shared" si="25"/>
        <v>43750</v>
      </c>
      <c r="BZ59" s="14">
        <f t="shared" si="26"/>
        <v>0</v>
      </c>
      <c r="CA59" s="14">
        <v>43640</v>
      </c>
      <c r="CB59" s="14">
        <f t="shared" si="27"/>
        <v>43640</v>
      </c>
      <c r="CC59" s="14">
        <f t="shared" si="28"/>
        <v>0</v>
      </c>
      <c r="CD59" s="14">
        <v>0</v>
      </c>
      <c r="CE59" s="14"/>
      <c r="CF59" s="14"/>
      <c r="CG59" s="14">
        <v>0</v>
      </c>
      <c r="CH59" s="14"/>
      <c r="CI59" s="14">
        <v>1434.7397000000001</v>
      </c>
      <c r="CJ59" s="14">
        <v>0.03</v>
      </c>
      <c r="CK59" s="14"/>
      <c r="CL59" s="14">
        <v>0</v>
      </c>
      <c r="CM59" s="14">
        <v>0.09</v>
      </c>
      <c r="CN59" s="14">
        <v>0</v>
      </c>
      <c r="CO59" s="14">
        <v>0</v>
      </c>
      <c r="CP59" s="14">
        <v>0</v>
      </c>
      <c r="CQ59" s="14"/>
      <c r="CR59" s="14">
        <v>0</v>
      </c>
      <c r="CS59" s="14"/>
      <c r="CT59" s="14">
        <v>1500</v>
      </c>
      <c r="CU59" s="14">
        <f t="shared" si="43"/>
        <v>1500</v>
      </c>
      <c r="CV59" s="14">
        <f t="shared" si="44"/>
        <v>0</v>
      </c>
      <c r="CW59" s="14">
        <v>1309.2</v>
      </c>
      <c r="CX59" s="14">
        <f t="shared" si="31"/>
        <v>1309.2</v>
      </c>
      <c r="CY59" s="14">
        <f t="shared" si="32"/>
        <v>0</v>
      </c>
      <c r="CZ59" s="14">
        <v>1500</v>
      </c>
      <c r="DA59" s="14">
        <f t="shared" si="33"/>
        <v>1500</v>
      </c>
      <c r="DB59" s="14">
        <f t="shared" si="34"/>
        <v>0</v>
      </c>
      <c r="DC59" s="14">
        <v>2427.6</v>
      </c>
      <c r="DD59" s="14">
        <f t="shared" si="39"/>
        <v>2427.6</v>
      </c>
      <c r="DE59" s="14">
        <f t="shared" si="35"/>
        <v>0</v>
      </c>
      <c r="DF59" s="14">
        <v>40940.800000000003</v>
      </c>
      <c r="DG59" s="14">
        <f t="shared" si="36"/>
        <v>40940.800000000003</v>
      </c>
      <c r="DH59" s="14">
        <f t="shared" si="37"/>
        <v>0</v>
      </c>
      <c r="DI59" s="14">
        <v>536.21</v>
      </c>
      <c r="DJ59" s="14">
        <f>IFERROR(VLOOKUP(D59,#REF!,2,0),0)</f>
        <v>0</v>
      </c>
      <c r="DK59" s="14">
        <f t="shared" si="38"/>
        <v>-536.21</v>
      </c>
      <c r="DL59" s="14">
        <v>43750</v>
      </c>
      <c r="DM59" s="14">
        <v>687665.87</v>
      </c>
      <c r="DN59" s="14">
        <v>3636.67</v>
      </c>
      <c r="DO59" s="14">
        <v>0</v>
      </c>
      <c r="DP59" s="14">
        <v>0</v>
      </c>
      <c r="DQ59" s="14">
        <v>43640</v>
      </c>
      <c r="DR59" s="14">
        <v>28</v>
      </c>
      <c r="DS59" s="14">
        <v>0</v>
      </c>
      <c r="DT59" s="5" t="s">
        <v>206</v>
      </c>
      <c r="DU59" s="5" t="s">
        <v>195</v>
      </c>
      <c r="DV59" s="5" t="s">
        <v>196</v>
      </c>
      <c r="DW59" s="5" t="s">
        <v>197</v>
      </c>
    </row>
    <row r="60" spans="1:127" ht="16.5">
      <c r="A60" s="5" t="s">
        <v>184</v>
      </c>
      <c r="B60" s="5" t="s">
        <v>147</v>
      </c>
      <c r="C60" s="5" t="s">
        <v>148</v>
      </c>
      <c r="D60" s="5" t="s">
        <v>553</v>
      </c>
      <c r="E60" s="5" t="e">
        <f>VLOOKUP(D60,#REF!,1,0)</f>
        <v>#REF!</v>
      </c>
      <c r="F60" s="5" t="s">
        <v>434</v>
      </c>
      <c r="G60" s="5" t="s">
        <v>554</v>
      </c>
      <c r="H60" s="5" t="str">
        <f t="shared" si="0"/>
        <v>Cheuk Ying, Valica Lau</v>
      </c>
      <c r="I60" s="5" t="e">
        <f>VLOOKUP(D60,#REF!,9,0)</f>
        <v>#REF!</v>
      </c>
      <c r="J60" s="5" t="e">
        <f t="shared" si="1"/>
        <v>#REF!</v>
      </c>
      <c r="K60" s="5" t="s">
        <v>555</v>
      </c>
      <c r="L60" s="5" t="s">
        <v>151</v>
      </c>
      <c r="M60" s="5" t="s">
        <v>556</v>
      </c>
      <c r="N60" s="10" t="e">
        <f>VLOOKUP(D60,#REF!,80,0)</f>
        <v>#REF!</v>
      </c>
      <c r="O60" s="11" t="e">
        <f t="shared" si="11"/>
        <v>#REF!</v>
      </c>
      <c r="P60" s="5" t="s">
        <v>203</v>
      </c>
      <c r="Q60" s="5" t="e">
        <f>VLOOKUP(D60,#REF!,50,0)</f>
        <v>#REF!</v>
      </c>
      <c r="R60" s="5" t="e">
        <f t="shared" si="12"/>
        <v>#REF!</v>
      </c>
      <c r="S60" s="5" t="s">
        <v>288</v>
      </c>
      <c r="T60" s="5" t="e">
        <f>VLOOKUP(D60,#REF!,21,0)</f>
        <v>#REF!</v>
      </c>
      <c r="U60" s="5" t="e">
        <f t="shared" si="13"/>
        <v>#REF!</v>
      </c>
      <c r="V60" s="5" t="s">
        <v>205</v>
      </c>
      <c r="W60" s="5" t="e">
        <f>VLOOKUP(D60,#REF!,51,0)</f>
        <v>#REF!</v>
      </c>
      <c r="X60" s="5" t="e">
        <f t="shared" si="14"/>
        <v>#REF!</v>
      </c>
      <c r="Y60" s="5" t="s">
        <v>192</v>
      </c>
      <c r="Z60" s="5" t="s">
        <v>193</v>
      </c>
      <c r="AA60" s="14">
        <v>0.7</v>
      </c>
      <c r="AB60" s="14">
        <v>29000</v>
      </c>
      <c r="AC60" s="14" t="e">
        <f>ROUND(VLOOKUP(D60,#REF!,59,0),0)</f>
        <v>#REF!</v>
      </c>
      <c r="AD60" s="14" t="e">
        <f t="shared" si="40"/>
        <v>#REF!</v>
      </c>
      <c r="AE60" s="14">
        <v>29000</v>
      </c>
      <c r="AF60" s="14">
        <f t="shared" si="41"/>
        <v>29000</v>
      </c>
      <c r="AG60" s="14">
        <f t="shared" si="42"/>
        <v>0</v>
      </c>
      <c r="AH60" s="14">
        <v>0</v>
      </c>
      <c r="AI60" s="14"/>
      <c r="AJ60" s="14"/>
      <c r="AK60" s="14">
        <v>0</v>
      </c>
      <c r="AL60" s="14"/>
      <c r="AM60" s="14"/>
      <c r="AN60" s="14">
        <v>0</v>
      </c>
      <c r="AO60" s="14">
        <v>0</v>
      </c>
      <c r="AP60" s="14">
        <f>IFERROR(VLOOKUP('Feb for check'!D60,#REF!,15,0),0)</f>
        <v>0</v>
      </c>
      <c r="AQ60" s="14">
        <f t="shared" si="18"/>
        <v>0</v>
      </c>
      <c r="AR60" s="14">
        <v>0</v>
      </c>
      <c r="AS60" s="14">
        <f t="shared" si="19"/>
        <v>0</v>
      </c>
      <c r="AT60" s="14">
        <f t="shared" si="20"/>
        <v>0</v>
      </c>
      <c r="AU60" s="14">
        <v>0</v>
      </c>
      <c r="AV60" s="14"/>
      <c r="AW60" s="14">
        <v>0</v>
      </c>
      <c r="AX60" s="14"/>
      <c r="AY60" s="14">
        <v>0</v>
      </c>
      <c r="AZ60" s="14"/>
      <c r="BA60" s="14">
        <v>0</v>
      </c>
      <c r="BB60" s="14">
        <f>IFERROR(VLOOKUP(D60,#REF!,2,0),0)</f>
        <v>0</v>
      </c>
      <c r="BC60" s="14" t="e">
        <f>MAX(VLOOKUP(D60,#REF!,13,0)-VLOOKUP(D60,#REF!,14,0),0)</f>
        <v>#REF!</v>
      </c>
      <c r="BD60" s="14">
        <f>IFERROR(VLOOKUP(D60,#REF!,3,0),0)</f>
        <v>0</v>
      </c>
      <c r="BE60" s="14" t="e">
        <f>MAX(VLOOKUP(D60,#REF!,22,0)-VLOOKUP(D60,#REF!,23,0),0)</f>
        <v>#REF!</v>
      </c>
      <c r="BF60" s="14" t="e">
        <f t="shared" si="21"/>
        <v>#REF!</v>
      </c>
      <c r="BG60" s="14" t="e">
        <f t="shared" si="22"/>
        <v>#REF!</v>
      </c>
      <c r="BH60" s="14">
        <v>0</v>
      </c>
      <c r="BI60" s="14"/>
      <c r="BJ60" s="14"/>
      <c r="BK60" s="14">
        <v>459</v>
      </c>
      <c r="BL60" s="14">
        <f t="shared" si="23"/>
        <v>459</v>
      </c>
      <c r="BM60" s="14">
        <f t="shared" si="24"/>
        <v>0</v>
      </c>
      <c r="BN60" s="14">
        <v>0</v>
      </c>
      <c r="BO60" s="14"/>
      <c r="BP60" s="14"/>
      <c r="BQ60" s="14"/>
      <c r="BR60" s="14">
        <v>0</v>
      </c>
      <c r="BS60" s="14"/>
      <c r="BT60" s="14">
        <v>0</v>
      </c>
      <c r="BU60" s="14"/>
      <c r="BV60" s="14">
        <v>0</v>
      </c>
      <c r="BW60" s="14"/>
      <c r="BX60" s="14">
        <v>29459</v>
      </c>
      <c r="BY60" s="14">
        <f t="shared" si="25"/>
        <v>29459</v>
      </c>
      <c r="BZ60" s="14">
        <f t="shared" si="26"/>
        <v>0</v>
      </c>
      <c r="CA60" s="14">
        <v>29000</v>
      </c>
      <c r="CB60" s="14">
        <f t="shared" si="27"/>
        <v>29000</v>
      </c>
      <c r="CC60" s="14">
        <f t="shared" si="28"/>
        <v>0</v>
      </c>
      <c r="CD60" s="14">
        <v>0</v>
      </c>
      <c r="CE60" s="14"/>
      <c r="CF60" s="14"/>
      <c r="CG60" s="14">
        <v>0</v>
      </c>
      <c r="CH60" s="14"/>
      <c r="CI60" s="14">
        <v>953.42460000000005</v>
      </c>
      <c r="CJ60" s="14">
        <v>0</v>
      </c>
      <c r="CK60" s="14"/>
      <c r="CL60" s="14">
        <v>0</v>
      </c>
      <c r="CM60" s="14">
        <v>7.4999999999999997E-2</v>
      </c>
      <c r="CN60" s="14">
        <v>0</v>
      </c>
      <c r="CO60" s="14">
        <v>0</v>
      </c>
      <c r="CP60" s="14">
        <v>0</v>
      </c>
      <c r="CQ60" s="14"/>
      <c r="CR60" s="14">
        <v>0</v>
      </c>
      <c r="CS60" s="14"/>
      <c r="CT60" s="14">
        <v>1472.95</v>
      </c>
      <c r="CU60" s="14">
        <f t="shared" si="43"/>
        <v>1472.95</v>
      </c>
      <c r="CV60" s="14">
        <f t="shared" si="44"/>
        <v>0</v>
      </c>
      <c r="CW60" s="14">
        <v>0</v>
      </c>
      <c r="CX60" s="14">
        <f t="shared" si="31"/>
        <v>0</v>
      </c>
      <c r="CY60" s="14">
        <f t="shared" si="32"/>
        <v>0</v>
      </c>
      <c r="CZ60" s="14">
        <v>1472.95</v>
      </c>
      <c r="DA60" s="14">
        <f t="shared" si="33"/>
        <v>1472.95</v>
      </c>
      <c r="DB60" s="14">
        <f t="shared" si="34"/>
        <v>0</v>
      </c>
      <c r="DC60" s="14">
        <v>702.05</v>
      </c>
      <c r="DD60" s="14">
        <f t="shared" si="39"/>
        <v>702.05</v>
      </c>
      <c r="DE60" s="14">
        <f t="shared" si="35"/>
        <v>0</v>
      </c>
      <c r="DF60" s="14">
        <v>27986.05</v>
      </c>
      <c r="DG60" s="14">
        <f t="shared" si="36"/>
        <v>27986.05</v>
      </c>
      <c r="DH60" s="14">
        <f t="shared" si="37"/>
        <v>0</v>
      </c>
      <c r="DI60" s="14">
        <v>2237.92</v>
      </c>
      <c r="DJ60" s="14">
        <f>IFERROR(VLOOKUP(D60,#REF!,2,0),0)</f>
        <v>0</v>
      </c>
      <c r="DK60" s="14">
        <f t="shared" si="38"/>
        <v>-2237.92</v>
      </c>
      <c r="DL60" s="14">
        <v>29459</v>
      </c>
      <c r="DM60" s="14">
        <v>262684.40999999997</v>
      </c>
      <c r="DN60" s="14">
        <v>2416.67</v>
      </c>
      <c r="DO60" s="14">
        <v>0</v>
      </c>
      <c r="DP60" s="14">
        <v>0</v>
      </c>
      <c r="DQ60" s="14">
        <v>29000</v>
      </c>
      <c r="DR60" s="14">
        <v>28</v>
      </c>
      <c r="DS60" s="14">
        <v>0</v>
      </c>
      <c r="DT60" s="5" t="s">
        <v>206</v>
      </c>
      <c r="DU60" s="5" t="s">
        <v>195</v>
      </c>
      <c r="DV60" s="5" t="s">
        <v>196</v>
      </c>
      <c r="DW60" s="5" t="s">
        <v>197</v>
      </c>
    </row>
    <row r="61" spans="1:127" ht="16.5">
      <c r="A61" s="5" t="s">
        <v>184</v>
      </c>
      <c r="B61" s="5" t="s">
        <v>147</v>
      </c>
      <c r="C61" s="5" t="s">
        <v>148</v>
      </c>
      <c r="D61" s="5" t="s">
        <v>557</v>
      </c>
      <c r="E61" s="5" t="e">
        <f>VLOOKUP(D61,#REF!,1,0)</f>
        <v>#REF!</v>
      </c>
      <c r="F61" s="5" t="s">
        <v>558</v>
      </c>
      <c r="G61" s="5" t="s">
        <v>559</v>
      </c>
      <c r="H61" s="5" t="str">
        <f t="shared" si="0"/>
        <v>Chun Wai Mok</v>
      </c>
      <c r="I61" s="5" t="e">
        <f>VLOOKUP(D61,#REF!,9,0)</f>
        <v>#REF!</v>
      </c>
      <c r="J61" s="5" t="e">
        <f t="shared" si="1"/>
        <v>#REF!</v>
      </c>
      <c r="K61" s="5" t="s">
        <v>560</v>
      </c>
      <c r="L61" s="5" t="s">
        <v>151</v>
      </c>
      <c r="M61" s="5" t="s">
        <v>561</v>
      </c>
      <c r="N61" s="10" t="e">
        <f>VLOOKUP(D61,#REF!,80,0)</f>
        <v>#REF!</v>
      </c>
      <c r="O61" s="11" t="e">
        <f t="shared" si="11"/>
        <v>#REF!</v>
      </c>
      <c r="P61" s="5" t="s">
        <v>338</v>
      </c>
      <c r="Q61" s="5" t="e">
        <f>VLOOKUP(D61,#REF!,50,0)</f>
        <v>#REF!</v>
      </c>
      <c r="R61" s="5" t="e">
        <f t="shared" si="12"/>
        <v>#REF!</v>
      </c>
      <c r="S61" s="5" t="s">
        <v>339</v>
      </c>
      <c r="T61" s="5" t="e">
        <f>VLOOKUP(D61,#REF!,21,0)</f>
        <v>#REF!</v>
      </c>
      <c r="U61" s="5" t="e">
        <f t="shared" si="13"/>
        <v>#REF!</v>
      </c>
      <c r="V61" s="5" t="s">
        <v>340</v>
      </c>
      <c r="W61" s="5" t="e">
        <f>VLOOKUP(D61,#REF!,51,0)</f>
        <v>#REF!</v>
      </c>
      <c r="X61" s="5" t="e">
        <f t="shared" si="14"/>
        <v>#REF!</v>
      </c>
      <c r="Y61" s="5" t="s">
        <v>192</v>
      </c>
      <c r="Z61" s="5" t="s">
        <v>193</v>
      </c>
      <c r="AA61" s="14">
        <v>12.89</v>
      </c>
      <c r="AB61" s="14">
        <v>49312</v>
      </c>
      <c r="AC61" s="14" t="e">
        <f>ROUND(VLOOKUP(D61,#REF!,59,0),0)</f>
        <v>#REF!</v>
      </c>
      <c r="AD61" s="14" t="e">
        <f t="shared" si="40"/>
        <v>#REF!</v>
      </c>
      <c r="AE61" s="14">
        <v>49312</v>
      </c>
      <c r="AF61" s="14">
        <f t="shared" si="41"/>
        <v>49312</v>
      </c>
      <c r="AG61" s="14">
        <f t="shared" si="42"/>
        <v>0</v>
      </c>
      <c r="AH61" s="14">
        <v>0</v>
      </c>
      <c r="AI61" s="14"/>
      <c r="AJ61" s="14"/>
      <c r="AK61" s="14">
        <v>0</v>
      </c>
      <c r="AL61" s="14"/>
      <c r="AM61" s="14"/>
      <c r="AN61" s="14">
        <v>0</v>
      </c>
      <c r="AO61" s="14">
        <v>2500</v>
      </c>
      <c r="AP61" s="14">
        <f>IFERROR(VLOOKUP('Feb for check'!D61,#REF!,15,0),0)</f>
        <v>0</v>
      </c>
      <c r="AQ61" s="14">
        <f t="shared" si="18"/>
        <v>-2500</v>
      </c>
      <c r="AR61" s="14">
        <v>2500</v>
      </c>
      <c r="AS61" s="14">
        <f t="shared" si="19"/>
        <v>2500</v>
      </c>
      <c r="AT61" s="14">
        <f t="shared" si="20"/>
        <v>0</v>
      </c>
      <c r="AU61" s="14">
        <v>0</v>
      </c>
      <c r="AV61" s="14"/>
      <c r="AW61" s="14">
        <v>0</v>
      </c>
      <c r="AX61" s="14"/>
      <c r="AY61" s="14">
        <v>0</v>
      </c>
      <c r="AZ61" s="14"/>
      <c r="BA61" s="14">
        <v>0</v>
      </c>
      <c r="BB61" s="14">
        <f>IFERROR(VLOOKUP(D61,#REF!,2,0),0)</f>
        <v>0</v>
      </c>
      <c r="BC61" s="14" t="e">
        <f>MAX(VLOOKUP(D61,#REF!,13,0)-VLOOKUP(D61,#REF!,14,0),0)</f>
        <v>#REF!</v>
      </c>
      <c r="BD61" s="14">
        <f>IFERROR(VLOOKUP(D61,#REF!,3,0),0)</f>
        <v>0</v>
      </c>
      <c r="BE61" s="14" t="e">
        <f>MAX(VLOOKUP(D61,#REF!,22,0)-VLOOKUP(D61,#REF!,23,0),0)</f>
        <v>#REF!</v>
      </c>
      <c r="BF61" s="14" t="e">
        <f t="shared" si="21"/>
        <v>#REF!</v>
      </c>
      <c r="BG61" s="14" t="e">
        <f t="shared" si="22"/>
        <v>#REF!</v>
      </c>
      <c r="BH61" s="14">
        <v>0</v>
      </c>
      <c r="BI61" s="14"/>
      <c r="BJ61" s="14"/>
      <c r="BK61" s="14">
        <v>0</v>
      </c>
      <c r="BL61" s="14">
        <f t="shared" si="23"/>
        <v>0</v>
      </c>
      <c r="BM61" s="14">
        <f t="shared" si="24"/>
        <v>0</v>
      </c>
      <c r="BN61" s="14">
        <v>0</v>
      </c>
      <c r="BO61" s="14"/>
      <c r="BP61" s="14"/>
      <c r="BQ61" s="14"/>
      <c r="BR61" s="14">
        <v>0</v>
      </c>
      <c r="BS61" s="14"/>
      <c r="BT61" s="14">
        <v>0</v>
      </c>
      <c r="BU61" s="14"/>
      <c r="BV61" s="14">
        <v>0</v>
      </c>
      <c r="BW61" s="14"/>
      <c r="BX61" s="14">
        <v>51812</v>
      </c>
      <c r="BY61" s="14">
        <f t="shared" si="25"/>
        <v>51812</v>
      </c>
      <c r="BZ61" s="14">
        <f t="shared" si="26"/>
        <v>0</v>
      </c>
      <c r="CA61" s="14">
        <v>49312</v>
      </c>
      <c r="CB61" s="14">
        <f t="shared" si="27"/>
        <v>49312</v>
      </c>
      <c r="CC61" s="14">
        <f t="shared" si="28"/>
        <v>0</v>
      </c>
      <c r="CD61" s="14">
        <v>0</v>
      </c>
      <c r="CE61" s="14"/>
      <c r="CF61" s="14"/>
      <c r="CG61" s="14">
        <v>0</v>
      </c>
      <c r="CH61" s="14"/>
      <c r="CI61" s="14">
        <v>1703.4082000000001</v>
      </c>
      <c r="CJ61" s="14">
        <v>0.05</v>
      </c>
      <c r="CK61" s="14"/>
      <c r="CL61" s="14">
        <v>0</v>
      </c>
      <c r="CM61" s="14">
        <v>0.1</v>
      </c>
      <c r="CN61" s="14">
        <v>0</v>
      </c>
      <c r="CO61" s="14">
        <v>0</v>
      </c>
      <c r="CP61" s="14">
        <v>0</v>
      </c>
      <c r="CQ61" s="14"/>
      <c r="CR61" s="14">
        <v>0</v>
      </c>
      <c r="CS61" s="14"/>
      <c r="CT61" s="14">
        <v>1500</v>
      </c>
      <c r="CU61" s="14">
        <f t="shared" si="43"/>
        <v>1500</v>
      </c>
      <c r="CV61" s="14">
        <f t="shared" si="44"/>
        <v>0</v>
      </c>
      <c r="CW61" s="14">
        <v>2465.6</v>
      </c>
      <c r="CX61" s="14">
        <f t="shared" si="31"/>
        <v>2465.6</v>
      </c>
      <c r="CY61" s="14">
        <f t="shared" si="32"/>
        <v>0</v>
      </c>
      <c r="CZ61" s="14">
        <v>1500</v>
      </c>
      <c r="DA61" s="14">
        <f t="shared" si="33"/>
        <v>1500</v>
      </c>
      <c r="DB61" s="14">
        <f t="shared" si="34"/>
        <v>0</v>
      </c>
      <c r="DC61" s="14">
        <v>3431.2</v>
      </c>
      <c r="DD61" s="14">
        <f t="shared" si="39"/>
        <v>3431.2</v>
      </c>
      <c r="DE61" s="14">
        <f t="shared" si="35"/>
        <v>0</v>
      </c>
      <c r="DF61" s="14">
        <v>47846.400000000001</v>
      </c>
      <c r="DG61" s="14">
        <f t="shared" si="36"/>
        <v>47846.400000000001</v>
      </c>
      <c r="DH61" s="14">
        <f t="shared" si="37"/>
        <v>0</v>
      </c>
      <c r="DI61" s="14">
        <v>0</v>
      </c>
      <c r="DJ61" s="14">
        <f>IFERROR(VLOOKUP(D61,#REF!,2,0),0)</f>
        <v>0</v>
      </c>
      <c r="DK61" s="14">
        <f t="shared" si="38"/>
        <v>0</v>
      </c>
      <c r="DL61" s="14">
        <v>49312</v>
      </c>
      <c r="DM61" s="14">
        <v>806909.32</v>
      </c>
      <c r="DN61" s="14">
        <v>4109.33</v>
      </c>
      <c r="DO61" s="14">
        <v>0</v>
      </c>
      <c r="DP61" s="14">
        <v>0</v>
      </c>
      <c r="DQ61" s="14">
        <v>51812</v>
      </c>
      <c r="DR61" s="14">
        <v>28</v>
      </c>
      <c r="DS61" s="14">
        <v>0</v>
      </c>
      <c r="DT61" s="5" t="s">
        <v>206</v>
      </c>
      <c r="DU61" s="5" t="s">
        <v>195</v>
      </c>
      <c r="DV61" s="5" t="s">
        <v>196</v>
      </c>
      <c r="DW61" s="5" t="s">
        <v>197</v>
      </c>
    </row>
    <row r="62" spans="1:127" ht="16.5">
      <c r="A62" s="5" t="s">
        <v>184</v>
      </c>
      <c r="B62" s="5" t="s">
        <v>147</v>
      </c>
      <c r="C62" s="5" t="s">
        <v>148</v>
      </c>
      <c r="D62" s="5" t="s">
        <v>562</v>
      </c>
      <c r="E62" s="5" t="e">
        <f>VLOOKUP(D62,#REF!,1,0)</f>
        <v>#REF!</v>
      </c>
      <c r="F62" s="5" t="s">
        <v>214</v>
      </c>
      <c r="G62" s="5" t="s">
        <v>563</v>
      </c>
      <c r="H62" s="5" t="str">
        <f t="shared" si="0"/>
        <v>Tsun Ho Mak</v>
      </c>
      <c r="I62" s="5" t="e">
        <f>VLOOKUP(D62,#REF!,9,0)</f>
        <v>#REF!</v>
      </c>
      <c r="J62" s="5" t="e">
        <f t="shared" si="1"/>
        <v>#REF!</v>
      </c>
      <c r="K62" s="5" t="s">
        <v>564</v>
      </c>
      <c r="L62" s="5" t="s">
        <v>151</v>
      </c>
      <c r="M62" s="5" t="s">
        <v>565</v>
      </c>
      <c r="N62" s="10" t="e">
        <f>VLOOKUP(D62,#REF!,80,0)</f>
        <v>#REF!</v>
      </c>
      <c r="O62" s="11" t="e">
        <f t="shared" si="11"/>
        <v>#REF!</v>
      </c>
      <c r="P62" s="5" t="s">
        <v>365</v>
      </c>
      <c r="Q62" s="5" t="e">
        <f>VLOOKUP(D62,#REF!,50,0)</f>
        <v>#REF!</v>
      </c>
      <c r="R62" s="5" t="e">
        <f t="shared" si="12"/>
        <v>#REF!</v>
      </c>
      <c r="S62" s="5" t="s">
        <v>496</v>
      </c>
      <c r="T62" s="5" t="e">
        <f>VLOOKUP(D62,#REF!,21,0)</f>
        <v>#REF!</v>
      </c>
      <c r="U62" s="5" t="e">
        <f t="shared" si="13"/>
        <v>#REF!</v>
      </c>
      <c r="V62" s="5" t="s">
        <v>367</v>
      </c>
      <c r="W62" s="5" t="e">
        <f>VLOOKUP(D62,#REF!,51,0)</f>
        <v>#REF!</v>
      </c>
      <c r="X62" s="5" t="e">
        <f t="shared" si="14"/>
        <v>#REF!</v>
      </c>
      <c r="Y62" s="5" t="s">
        <v>192</v>
      </c>
      <c r="Z62" s="5" t="s">
        <v>193</v>
      </c>
      <c r="AA62" s="14">
        <v>1.91</v>
      </c>
      <c r="AB62" s="14">
        <v>25032</v>
      </c>
      <c r="AC62" s="14" t="e">
        <f>ROUND(VLOOKUP(D62,#REF!,59,0),0)</f>
        <v>#REF!</v>
      </c>
      <c r="AD62" s="14" t="e">
        <f t="shared" si="40"/>
        <v>#REF!</v>
      </c>
      <c r="AE62" s="14">
        <v>25032</v>
      </c>
      <c r="AF62" s="14">
        <f t="shared" si="41"/>
        <v>25032</v>
      </c>
      <c r="AG62" s="14">
        <f t="shared" si="42"/>
        <v>0</v>
      </c>
      <c r="AH62" s="14">
        <v>0</v>
      </c>
      <c r="AI62" s="14"/>
      <c r="AJ62" s="14"/>
      <c r="AK62" s="14">
        <v>0</v>
      </c>
      <c r="AL62" s="14"/>
      <c r="AM62" s="14"/>
      <c r="AN62" s="14">
        <v>0</v>
      </c>
      <c r="AO62" s="14">
        <v>2500</v>
      </c>
      <c r="AP62" s="14">
        <f>IFERROR(VLOOKUP('Feb for check'!D62,#REF!,15,0),0)</f>
        <v>0</v>
      </c>
      <c r="AQ62" s="14">
        <f t="shared" si="18"/>
        <v>-2500</v>
      </c>
      <c r="AR62" s="14">
        <v>2500</v>
      </c>
      <c r="AS62" s="14">
        <f t="shared" si="19"/>
        <v>2500</v>
      </c>
      <c r="AT62" s="14">
        <f t="shared" si="20"/>
        <v>0</v>
      </c>
      <c r="AU62" s="14">
        <v>0</v>
      </c>
      <c r="AV62" s="14"/>
      <c r="AW62" s="14">
        <v>0</v>
      </c>
      <c r="AX62" s="14"/>
      <c r="AY62" s="14">
        <v>0</v>
      </c>
      <c r="AZ62" s="14"/>
      <c r="BA62" s="14">
        <v>0</v>
      </c>
      <c r="BB62" s="14">
        <f>IFERROR(VLOOKUP(D62,#REF!,2,0),0)</f>
        <v>0</v>
      </c>
      <c r="BC62" s="14" t="e">
        <f>MAX(VLOOKUP(D62,#REF!,13,0)-VLOOKUP(D62,#REF!,14,0),0)</f>
        <v>#REF!</v>
      </c>
      <c r="BD62" s="14">
        <f>IFERROR(VLOOKUP(D62,#REF!,3,0),0)</f>
        <v>0</v>
      </c>
      <c r="BE62" s="14" t="e">
        <f>MAX(VLOOKUP(D62,#REF!,22,0)-VLOOKUP(D62,#REF!,23,0),0)</f>
        <v>#REF!</v>
      </c>
      <c r="BF62" s="14" t="e">
        <f t="shared" si="21"/>
        <v>#REF!</v>
      </c>
      <c r="BG62" s="14" t="e">
        <f t="shared" si="22"/>
        <v>#REF!</v>
      </c>
      <c r="BH62" s="14">
        <v>0</v>
      </c>
      <c r="BI62" s="14"/>
      <c r="BJ62" s="14"/>
      <c r="BK62" s="14">
        <v>0</v>
      </c>
      <c r="BL62" s="14">
        <f t="shared" si="23"/>
        <v>0</v>
      </c>
      <c r="BM62" s="14">
        <f t="shared" si="24"/>
        <v>0</v>
      </c>
      <c r="BN62" s="14">
        <v>0</v>
      </c>
      <c r="BO62" s="14"/>
      <c r="BP62" s="14"/>
      <c r="BQ62" s="14"/>
      <c r="BR62" s="14">
        <v>0</v>
      </c>
      <c r="BS62" s="14"/>
      <c r="BT62" s="14">
        <v>0</v>
      </c>
      <c r="BU62" s="14"/>
      <c r="BV62" s="14">
        <v>0</v>
      </c>
      <c r="BW62" s="14"/>
      <c r="BX62" s="14">
        <v>27532</v>
      </c>
      <c r="BY62" s="14">
        <f t="shared" si="25"/>
        <v>27532</v>
      </c>
      <c r="BZ62" s="14">
        <f t="shared" si="26"/>
        <v>0</v>
      </c>
      <c r="CA62" s="14">
        <v>25032</v>
      </c>
      <c r="CB62" s="14">
        <f t="shared" si="27"/>
        <v>25032</v>
      </c>
      <c r="CC62" s="14">
        <f t="shared" si="28"/>
        <v>0</v>
      </c>
      <c r="CD62" s="14">
        <v>0</v>
      </c>
      <c r="CE62" s="14"/>
      <c r="CF62" s="14"/>
      <c r="CG62" s="14">
        <v>0</v>
      </c>
      <c r="CH62" s="14"/>
      <c r="CI62" s="14">
        <v>905.16160000000002</v>
      </c>
      <c r="CJ62" s="14">
        <v>0</v>
      </c>
      <c r="CK62" s="14"/>
      <c r="CL62" s="14">
        <v>0</v>
      </c>
      <c r="CM62" s="14">
        <v>7.4999999999999997E-2</v>
      </c>
      <c r="CN62" s="14">
        <v>0</v>
      </c>
      <c r="CO62" s="14">
        <v>0</v>
      </c>
      <c r="CP62" s="14">
        <v>0</v>
      </c>
      <c r="CQ62" s="14"/>
      <c r="CR62" s="14">
        <v>0</v>
      </c>
      <c r="CS62" s="14"/>
      <c r="CT62" s="14">
        <v>1376.6</v>
      </c>
      <c r="CU62" s="14">
        <f t="shared" si="43"/>
        <v>1376.6000000000001</v>
      </c>
      <c r="CV62" s="14">
        <f t="shared" si="44"/>
        <v>0</v>
      </c>
      <c r="CW62" s="14">
        <v>0</v>
      </c>
      <c r="CX62" s="14">
        <f t="shared" si="31"/>
        <v>0</v>
      </c>
      <c r="CY62" s="14">
        <f t="shared" si="32"/>
        <v>0</v>
      </c>
      <c r="CZ62" s="14">
        <v>1376.6</v>
      </c>
      <c r="DA62" s="14">
        <f t="shared" si="33"/>
        <v>1376.6000000000001</v>
      </c>
      <c r="DB62" s="14">
        <f t="shared" si="34"/>
        <v>0</v>
      </c>
      <c r="DC62" s="14">
        <v>500.8</v>
      </c>
      <c r="DD62" s="14">
        <f t="shared" si="39"/>
        <v>500.8</v>
      </c>
      <c r="DE62" s="14">
        <f t="shared" si="35"/>
        <v>0</v>
      </c>
      <c r="DF62" s="14">
        <v>26155.4</v>
      </c>
      <c r="DG62" s="14">
        <f t="shared" si="36"/>
        <v>26155.4</v>
      </c>
      <c r="DH62" s="14">
        <f t="shared" si="37"/>
        <v>0</v>
      </c>
      <c r="DI62" s="14">
        <v>0</v>
      </c>
      <c r="DJ62" s="14">
        <f>IFERROR(VLOOKUP(D62,#REF!,2,0),0)</f>
        <v>0</v>
      </c>
      <c r="DK62" s="14">
        <f t="shared" si="38"/>
        <v>0</v>
      </c>
      <c r="DL62" s="14">
        <v>25032</v>
      </c>
      <c r="DM62" s="14">
        <v>461132.73</v>
      </c>
      <c r="DN62" s="14">
        <v>2086</v>
      </c>
      <c r="DO62" s="14">
        <v>0</v>
      </c>
      <c r="DP62" s="14">
        <v>0</v>
      </c>
      <c r="DQ62" s="14">
        <v>27532</v>
      </c>
      <c r="DR62" s="14">
        <v>28</v>
      </c>
      <c r="DS62" s="14">
        <v>0</v>
      </c>
      <c r="DT62" s="5" t="s">
        <v>206</v>
      </c>
      <c r="DU62" s="5" t="s">
        <v>195</v>
      </c>
      <c r="DV62" s="5" t="s">
        <v>196</v>
      </c>
      <c r="DW62" s="5" t="s">
        <v>197</v>
      </c>
    </row>
    <row r="63" spans="1:127" ht="16.5">
      <c r="A63" s="5" t="s">
        <v>184</v>
      </c>
      <c r="B63" s="5" t="s">
        <v>147</v>
      </c>
      <c r="C63" s="5" t="s">
        <v>148</v>
      </c>
      <c r="D63" s="5" t="s">
        <v>566</v>
      </c>
      <c r="E63" s="5" t="e">
        <f>VLOOKUP(D63,#REF!,1,0)</f>
        <v>#REF!</v>
      </c>
      <c r="F63" s="5" t="s">
        <v>264</v>
      </c>
      <c r="G63" s="5" t="s">
        <v>567</v>
      </c>
      <c r="H63" s="5" t="str">
        <f t="shared" si="0"/>
        <v>Pui Kit Wong</v>
      </c>
      <c r="I63" s="5" t="e">
        <f>VLOOKUP(D63,#REF!,9,0)</f>
        <v>#REF!</v>
      </c>
      <c r="J63" s="5" t="e">
        <f t="shared" si="1"/>
        <v>#REF!</v>
      </c>
      <c r="K63" s="5" t="s">
        <v>568</v>
      </c>
      <c r="L63" s="5" t="s">
        <v>151</v>
      </c>
      <c r="M63" s="5" t="s">
        <v>569</v>
      </c>
      <c r="N63" s="10" t="e">
        <f>VLOOKUP(D63,#REF!,80,0)</f>
        <v>#REF!</v>
      </c>
      <c r="O63" s="11" t="e">
        <f t="shared" si="11"/>
        <v>#REF!</v>
      </c>
      <c r="P63" s="5" t="s">
        <v>402</v>
      </c>
      <c r="Q63" s="5" t="e">
        <f>VLOOKUP(D63,#REF!,50,0)</f>
        <v>#REF!</v>
      </c>
      <c r="R63" s="5" t="e">
        <f t="shared" si="12"/>
        <v>#REF!</v>
      </c>
      <c r="S63" s="5" t="s">
        <v>570</v>
      </c>
      <c r="T63" s="5" t="e">
        <f>VLOOKUP(D63,#REF!,21,0)</f>
        <v>#REF!</v>
      </c>
      <c r="U63" s="5" t="e">
        <f t="shared" si="13"/>
        <v>#REF!</v>
      </c>
      <c r="V63" s="5" t="s">
        <v>404</v>
      </c>
      <c r="W63" s="5" t="e">
        <f>VLOOKUP(D63,#REF!,51,0)</f>
        <v>#REF!</v>
      </c>
      <c r="X63" s="5" t="e">
        <f t="shared" si="14"/>
        <v>#REF!</v>
      </c>
      <c r="Y63" s="5" t="s">
        <v>192</v>
      </c>
      <c r="Z63" s="5" t="s">
        <v>193</v>
      </c>
      <c r="AA63" s="14">
        <v>7.16</v>
      </c>
      <c r="AB63" s="14">
        <v>33336</v>
      </c>
      <c r="AC63" s="14" t="e">
        <f>ROUND(VLOOKUP(D63,#REF!,59,0),0)</f>
        <v>#REF!</v>
      </c>
      <c r="AD63" s="14" t="e">
        <f t="shared" si="40"/>
        <v>#REF!</v>
      </c>
      <c r="AE63" s="14">
        <v>33336</v>
      </c>
      <c r="AF63" s="14">
        <f t="shared" si="41"/>
        <v>33336</v>
      </c>
      <c r="AG63" s="14">
        <f t="shared" si="42"/>
        <v>0</v>
      </c>
      <c r="AH63" s="14">
        <v>0</v>
      </c>
      <c r="AI63" s="14"/>
      <c r="AJ63" s="14"/>
      <c r="AK63" s="14">
        <v>0</v>
      </c>
      <c r="AL63" s="14"/>
      <c r="AM63" s="14"/>
      <c r="AN63" s="14">
        <v>0</v>
      </c>
      <c r="AO63" s="14">
        <v>0</v>
      </c>
      <c r="AP63" s="14">
        <f>IFERROR(VLOOKUP('Feb for check'!D63,#REF!,15,0),0)</f>
        <v>0</v>
      </c>
      <c r="AQ63" s="14">
        <f t="shared" si="18"/>
        <v>0</v>
      </c>
      <c r="AR63" s="14">
        <v>0</v>
      </c>
      <c r="AS63" s="14">
        <f t="shared" si="19"/>
        <v>0</v>
      </c>
      <c r="AT63" s="14">
        <f t="shared" si="20"/>
        <v>0</v>
      </c>
      <c r="AU63" s="14">
        <v>0</v>
      </c>
      <c r="AV63" s="14"/>
      <c r="AW63" s="14">
        <v>0</v>
      </c>
      <c r="AX63" s="14"/>
      <c r="AY63" s="14">
        <v>0</v>
      </c>
      <c r="AZ63" s="14"/>
      <c r="BA63" s="14">
        <v>0</v>
      </c>
      <c r="BB63" s="14">
        <f>IFERROR(VLOOKUP(D63,#REF!,2,0),0)</f>
        <v>0</v>
      </c>
      <c r="BC63" s="14" t="e">
        <f>MAX(VLOOKUP(D63,#REF!,13,0)-VLOOKUP(D63,#REF!,14,0),0)</f>
        <v>#REF!</v>
      </c>
      <c r="BD63" s="14">
        <f>IFERROR(VLOOKUP(D63,#REF!,3,0),0)</f>
        <v>0</v>
      </c>
      <c r="BE63" s="14" t="e">
        <f>MAX(VLOOKUP(D63,#REF!,22,0)-VLOOKUP(D63,#REF!,23,0),0)</f>
        <v>#REF!</v>
      </c>
      <c r="BF63" s="14" t="e">
        <f t="shared" si="21"/>
        <v>#REF!</v>
      </c>
      <c r="BG63" s="14" t="e">
        <f t="shared" si="22"/>
        <v>#REF!</v>
      </c>
      <c r="BH63" s="14">
        <v>0</v>
      </c>
      <c r="BI63" s="14"/>
      <c r="BJ63" s="14"/>
      <c r="BK63" s="14">
        <v>0</v>
      </c>
      <c r="BL63" s="14">
        <f t="shared" si="23"/>
        <v>0</v>
      </c>
      <c r="BM63" s="14">
        <f t="shared" si="24"/>
        <v>0</v>
      </c>
      <c r="BN63" s="14">
        <v>0</v>
      </c>
      <c r="BO63" s="14"/>
      <c r="BP63" s="14"/>
      <c r="BQ63" s="14"/>
      <c r="BR63" s="14">
        <v>0</v>
      </c>
      <c r="BS63" s="14"/>
      <c r="BT63" s="14">
        <v>0</v>
      </c>
      <c r="BU63" s="14"/>
      <c r="BV63" s="14">
        <v>0</v>
      </c>
      <c r="BW63" s="14"/>
      <c r="BX63" s="14">
        <v>33336</v>
      </c>
      <c r="BY63" s="14">
        <f t="shared" si="25"/>
        <v>33336</v>
      </c>
      <c r="BZ63" s="14">
        <f t="shared" si="26"/>
        <v>0</v>
      </c>
      <c r="CA63" s="14">
        <v>33336</v>
      </c>
      <c r="CB63" s="14">
        <f t="shared" si="27"/>
        <v>33336</v>
      </c>
      <c r="CC63" s="14">
        <f t="shared" si="28"/>
        <v>0</v>
      </c>
      <c r="CD63" s="14">
        <v>0</v>
      </c>
      <c r="CE63" s="14"/>
      <c r="CF63" s="14"/>
      <c r="CG63" s="14">
        <v>0</v>
      </c>
      <c r="CH63" s="14"/>
      <c r="CI63" s="14">
        <v>1095.9780000000001</v>
      </c>
      <c r="CJ63" s="14">
        <v>0.05</v>
      </c>
      <c r="CK63" s="14"/>
      <c r="CL63" s="14">
        <v>0</v>
      </c>
      <c r="CM63" s="14">
        <v>0.1</v>
      </c>
      <c r="CN63" s="14">
        <v>0</v>
      </c>
      <c r="CO63" s="14">
        <v>0</v>
      </c>
      <c r="CP63" s="14">
        <v>0</v>
      </c>
      <c r="CQ63" s="14"/>
      <c r="CR63" s="14">
        <v>0</v>
      </c>
      <c r="CS63" s="14"/>
      <c r="CT63" s="14">
        <v>1500</v>
      </c>
      <c r="CU63" s="14">
        <f t="shared" si="43"/>
        <v>1500</v>
      </c>
      <c r="CV63" s="14">
        <f t="shared" si="44"/>
        <v>0</v>
      </c>
      <c r="CW63" s="14">
        <v>1666.8</v>
      </c>
      <c r="CX63" s="14">
        <f t="shared" si="31"/>
        <v>1666.8</v>
      </c>
      <c r="CY63" s="14">
        <f t="shared" si="32"/>
        <v>0</v>
      </c>
      <c r="CZ63" s="14">
        <v>1500</v>
      </c>
      <c r="DA63" s="14">
        <f t="shared" si="33"/>
        <v>1500</v>
      </c>
      <c r="DB63" s="14">
        <f t="shared" si="34"/>
        <v>0</v>
      </c>
      <c r="DC63" s="14">
        <v>1833.6</v>
      </c>
      <c r="DD63" s="14">
        <f t="shared" si="39"/>
        <v>1833.6</v>
      </c>
      <c r="DE63" s="14">
        <f t="shared" si="35"/>
        <v>0</v>
      </c>
      <c r="DF63" s="14">
        <v>30169.200000000001</v>
      </c>
      <c r="DG63" s="14">
        <f t="shared" si="36"/>
        <v>30169.200000000001</v>
      </c>
      <c r="DH63" s="14">
        <f t="shared" si="37"/>
        <v>0</v>
      </c>
      <c r="DI63" s="14">
        <v>0</v>
      </c>
      <c r="DJ63" s="14">
        <f>IFERROR(VLOOKUP(D63,#REF!,2,0),0)</f>
        <v>0</v>
      </c>
      <c r="DK63" s="14">
        <f t="shared" si="38"/>
        <v>0</v>
      </c>
      <c r="DL63" s="14">
        <v>33336</v>
      </c>
      <c r="DM63" s="14">
        <v>524761.84</v>
      </c>
      <c r="DN63" s="14">
        <v>2778</v>
      </c>
      <c r="DO63" s="14">
        <v>0</v>
      </c>
      <c r="DP63" s="14">
        <v>0</v>
      </c>
      <c r="DQ63" s="14">
        <v>33336</v>
      </c>
      <c r="DR63" s="14">
        <v>28</v>
      </c>
      <c r="DS63" s="14">
        <v>0</v>
      </c>
      <c r="DT63" s="5" t="s">
        <v>206</v>
      </c>
      <c r="DU63" s="5" t="s">
        <v>195</v>
      </c>
      <c r="DV63" s="5" t="s">
        <v>196</v>
      </c>
      <c r="DW63" s="5" t="s">
        <v>197</v>
      </c>
    </row>
    <row r="64" spans="1:127" ht="16.5">
      <c r="A64" s="5" t="s">
        <v>184</v>
      </c>
      <c r="B64" s="5" t="s">
        <v>147</v>
      </c>
      <c r="C64" s="5" t="s">
        <v>148</v>
      </c>
      <c r="D64" s="5" t="s">
        <v>571</v>
      </c>
      <c r="E64" s="5" t="e">
        <f>VLOOKUP(D64,#REF!,1,0)</f>
        <v>#REF!</v>
      </c>
      <c r="F64" s="5" t="s">
        <v>428</v>
      </c>
      <c r="G64" s="5" t="s">
        <v>572</v>
      </c>
      <c r="H64" s="5" t="str">
        <f t="shared" si="0"/>
        <v>Wai Fong Cheung</v>
      </c>
      <c r="I64" s="5" t="e">
        <f>VLOOKUP(D64,#REF!,9,0)</f>
        <v>#REF!</v>
      </c>
      <c r="J64" s="5" t="e">
        <f t="shared" si="1"/>
        <v>#REF!</v>
      </c>
      <c r="K64" s="5" t="s">
        <v>573</v>
      </c>
      <c r="L64" s="5" t="s">
        <v>151</v>
      </c>
      <c r="M64" s="5" t="s">
        <v>574</v>
      </c>
      <c r="N64" s="10" t="e">
        <f>VLOOKUP(D64,#REF!,80,0)</f>
        <v>#REF!</v>
      </c>
      <c r="O64" s="11" t="e">
        <f t="shared" si="11"/>
        <v>#REF!</v>
      </c>
      <c r="P64" s="5" t="s">
        <v>402</v>
      </c>
      <c r="Q64" s="5" t="e">
        <f>VLOOKUP(D64,#REF!,50,0)</f>
        <v>#REF!</v>
      </c>
      <c r="R64" s="5" t="e">
        <f t="shared" si="12"/>
        <v>#REF!</v>
      </c>
      <c r="S64" s="5" t="s">
        <v>575</v>
      </c>
      <c r="T64" s="5" t="e">
        <f>VLOOKUP(D64,#REF!,21,0)</f>
        <v>#REF!</v>
      </c>
      <c r="U64" s="5" t="e">
        <f t="shared" si="13"/>
        <v>#REF!</v>
      </c>
      <c r="V64" s="5" t="s">
        <v>404</v>
      </c>
      <c r="W64" s="5" t="e">
        <f>VLOOKUP(D64,#REF!,51,0)</f>
        <v>#REF!</v>
      </c>
      <c r="X64" s="5" t="e">
        <f t="shared" si="14"/>
        <v>#REF!</v>
      </c>
      <c r="Y64" s="5" t="s">
        <v>192</v>
      </c>
      <c r="Z64" s="5" t="s">
        <v>193</v>
      </c>
      <c r="AA64" s="14">
        <v>1.43</v>
      </c>
      <c r="AB64" s="14">
        <v>51900</v>
      </c>
      <c r="AC64" s="14" t="e">
        <f>ROUND(VLOOKUP(D64,#REF!,59,0),0)</f>
        <v>#REF!</v>
      </c>
      <c r="AD64" s="14" t="e">
        <f t="shared" si="40"/>
        <v>#REF!</v>
      </c>
      <c r="AE64" s="14">
        <v>51900</v>
      </c>
      <c r="AF64" s="14">
        <f t="shared" si="41"/>
        <v>51900</v>
      </c>
      <c r="AG64" s="14">
        <f t="shared" si="42"/>
        <v>0</v>
      </c>
      <c r="AH64" s="14">
        <v>0</v>
      </c>
      <c r="AI64" s="14"/>
      <c r="AJ64" s="14"/>
      <c r="AK64" s="14">
        <v>0</v>
      </c>
      <c r="AL64" s="14"/>
      <c r="AM64" s="14"/>
      <c r="AN64" s="14">
        <v>0</v>
      </c>
      <c r="AO64" s="14">
        <v>0</v>
      </c>
      <c r="AP64" s="14">
        <f>IFERROR(VLOOKUP('Feb for check'!D64,#REF!,15,0),0)</f>
        <v>0</v>
      </c>
      <c r="AQ64" s="14">
        <f t="shared" si="18"/>
        <v>0</v>
      </c>
      <c r="AR64" s="14">
        <v>0</v>
      </c>
      <c r="AS64" s="14">
        <f t="shared" si="19"/>
        <v>0</v>
      </c>
      <c r="AT64" s="14">
        <f t="shared" si="20"/>
        <v>0</v>
      </c>
      <c r="AU64" s="14">
        <v>0</v>
      </c>
      <c r="AV64" s="14"/>
      <c r="AW64" s="14">
        <v>0</v>
      </c>
      <c r="AX64" s="14"/>
      <c r="AY64" s="14">
        <v>0</v>
      </c>
      <c r="AZ64" s="14"/>
      <c r="BA64" s="14">
        <v>301.82</v>
      </c>
      <c r="BB64" s="14">
        <f>IFERROR(VLOOKUP(D64,#REF!,2,0),0)</f>
        <v>0</v>
      </c>
      <c r="BC64" s="14" t="e">
        <f>MAX(VLOOKUP(D64,#REF!,13,0)-VLOOKUP(D64,#REF!,14,0),0)</f>
        <v>#REF!</v>
      </c>
      <c r="BD64" s="14">
        <f>IFERROR(VLOOKUP(D64,#REF!,3,0),0)</f>
        <v>0</v>
      </c>
      <c r="BE64" s="14" t="e">
        <f>MAX(VLOOKUP(D64,#REF!,22,0)-VLOOKUP(D64,#REF!,23,0),0)</f>
        <v>#REF!</v>
      </c>
      <c r="BF64" s="14" t="e">
        <f t="shared" si="21"/>
        <v>#REF!</v>
      </c>
      <c r="BG64" s="14" t="e">
        <f t="shared" si="22"/>
        <v>#REF!</v>
      </c>
      <c r="BH64" s="14">
        <v>0</v>
      </c>
      <c r="BI64" s="14"/>
      <c r="BJ64" s="14"/>
      <c r="BK64" s="14">
        <v>110</v>
      </c>
      <c r="BL64" s="14">
        <f t="shared" si="23"/>
        <v>110</v>
      </c>
      <c r="BM64" s="14">
        <f t="shared" si="24"/>
        <v>0</v>
      </c>
      <c r="BN64" s="14">
        <v>0</v>
      </c>
      <c r="BO64" s="14"/>
      <c r="BP64" s="14"/>
      <c r="BQ64" s="14"/>
      <c r="BR64" s="14">
        <v>0</v>
      </c>
      <c r="BS64" s="14"/>
      <c r="BT64" s="14">
        <v>0</v>
      </c>
      <c r="BU64" s="14"/>
      <c r="BV64" s="14">
        <v>0</v>
      </c>
      <c r="BW64" s="14"/>
      <c r="BX64" s="14">
        <v>52311.82</v>
      </c>
      <c r="BY64" s="14">
        <f t="shared" si="25"/>
        <v>52311.82</v>
      </c>
      <c r="BZ64" s="14">
        <f t="shared" si="26"/>
        <v>0</v>
      </c>
      <c r="CA64" s="14">
        <v>52201.82</v>
      </c>
      <c r="CB64" s="14">
        <f t="shared" si="27"/>
        <v>52201.82</v>
      </c>
      <c r="CC64" s="14">
        <f t="shared" si="28"/>
        <v>0</v>
      </c>
      <c r="CD64" s="14">
        <v>0</v>
      </c>
      <c r="CE64" s="14"/>
      <c r="CF64" s="14"/>
      <c r="CG64" s="14">
        <v>0</v>
      </c>
      <c r="CH64" s="14"/>
      <c r="CI64" s="14">
        <v>1706.3013000000001</v>
      </c>
      <c r="CJ64" s="14">
        <v>0</v>
      </c>
      <c r="CK64" s="14"/>
      <c r="CL64" s="14">
        <v>0</v>
      </c>
      <c r="CM64" s="14">
        <v>7.4999999999999997E-2</v>
      </c>
      <c r="CN64" s="14">
        <v>0</v>
      </c>
      <c r="CO64" s="14">
        <v>0</v>
      </c>
      <c r="CP64" s="14">
        <v>0</v>
      </c>
      <c r="CQ64" s="14"/>
      <c r="CR64" s="14">
        <v>0</v>
      </c>
      <c r="CS64" s="14"/>
      <c r="CT64" s="14">
        <v>1500</v>
      </c>
      <c r="CU64" s="14">
        <f t="shared" si="43"/>
        <v>1500</v>
      </c>
      <c r="CV64" s="14">
        <f t="shared" si="44"/>
        <v>0</v>
      </c>
      <c r="CW64" s="14">
        <v>0</v>
      </c>
      <c r="CX64" s="14">
        <f t="shared" si="31"/>
        <v>0</v>
      </c>
      <c r="CY64" s="14">
        <f t="shared" si="32"/>
        <v>0</v>
      </c>
      <c r="CZ64" s="14">
        <v>1500</v>
      </c>
      <c r="DA64" s="14">
        <f t="shared" si="33"/>
        <v>1500</v>
      </c>
      <c r="DB64" s="14">
        <f t="shared" si="34"/>
        <v>0</v>
      </c>
      <c r="DC64" s="14">
        <v>2415.14</v>
      </c>
      <c r="DD64" s="14">
        <f t="shared" si="39"/>
        <v>2415.14</v>
      </c>
      <c r="DE64" s="14">
        <f t="shared" si="35"/>
        <v>0</v>
      </c>
      <c r="DF64" s="14">
        <v>50811.82</v>
      </c>
      <c r="DG64" s="14">
        <f t="shared" si="36"/>
        <v>50811.82</v>
      </c>
      <c r="DH64" s="14">
        <f t="shared" si="37"/>
        <v>0</v>
      </c>
      <c r="DI64" s="14">
        <v>536.21</v>
      </c>
      <c r="DJ64" s="14">
        <f>IFERROR(VLOOKUP(D64,#REF!,2,0),0)</f>
        <v>0</v>
      </c>
      <c r="DK64" s="14">
        <f t="shared" si="38"/>
        <v>-536.21</v>
      </c>
      <c r="DL64" s="14">
        <v>52311.82</v>
      </c>
      <c r="DM64" s="14">
        <v>726344.75</v>
      </c>
      <c r="DN64" s="14">
        <v>4325</v>
      </c>
      <c r="DO64" s="14">
        <v>301.82</v>
      </c>
      <c r="DP64" s="14">
        <v>0</v>
      </c>
      <c r="DQ64" s="14">
        <v>52201.82</v>
      </c>
      <c r="DR64" s="14">
        <v>28</v>
      </c>
      <c r="DS64" s="14">
        <v>0</v>
      </c>
      <c r="DT64" s="5" t="s">
        <v>206</v>
      </c>
      <c r="DU64" s="5" t="s">
        <v>195</v>
      </c>
      <c r="DV64" s="5" t="s">
        <v>196</v>
      </c>
      <c r="DW64" s="5" t="s">
        <v>197</v>
      </c>
    </row>
    <row r="65" spans="1:127" ht="16.5">
      <c r="A65" s="5" t="s">
        <v>184</v>
      </c>
      <c r="B65" s="5" t="s">
        <v>147</v>
      </c>
      <c r="C65" s="5" t="s">
        <v>148</v>
      </c>
      <c r="D65" s="5" t="s">
        <v>576</v>
      </c>
      <c r="E65" s="5" t="e">
        <f>VLOOKUP(D65,#REF!,1,0)</f>
        <v>#REF!</v>
      </c>
      <c r="F65" s="5" t="s">
        <v>577</v>
      </c>
      <c r="G65" s="5" t="s">
        <v>578</v>
      </c>
      <c r="H65" s="5" t="str">
        <f t="shared" si="0"/>
        <v>Kam Fong Ng</v>
      </c>
      <c r="I65" s="5" t="e">
        <f>VLOOKUP(D65,#REF!,9,0)</f>
        <v>#REF!</v>
      </c>
      <c r="J65" s="5" t="e">
        <f t="shared" si="1"/>
        <v>#REF!</v>
      </c>
      <c r="K65" s="5" t="s">
        <v>579</v>
      </c>
      <c r="L65" s="5" t="s">
        <v>151</v>
      </c>
      <c r="M65" s="5" t="s">
        <v>580</v>
      </c>
      <c r="N65" s="10" t="e">
        <f>VLOOKUP(D65,#REF!,80,0)</f>
        <v>#REF!</v>
      </c>
      <c r="O65" s="11" t="e">
        <f t="shared" si="11"/>
        <v>#REF!</v>
      </c>
      <c r="P65" s="5" t="s">
        <v>416</v>
      </c>
      <c r="Q65" s="5" t="e">
        <f>VLOOKUP(D65,#REF!,50,0)</f>
        <v>#REF!</v>
      </c>
      <c r="R65" s="5" t="e">
        <f t="shared" si="12"/>
        <v>#REF!</v>
      </c>
      <c r="S65" s="5" t="s">
        <v>581</v>
      </c>
      <c r="T65" s="5" t="e">
        <f>VLOOKUP(D65,#REF!,21,0)</f>
        <v>#REF!</v>
      </c>
      <c r="U65" s="5" t="e">
        <f t="shared" si="13"/>
        <v>#REF!</v>
      </c>
      <c r="V65" s="5" t="s">
        <v>418</v>
      </c>
      <c r="W65" s="5" t="e">
        <f>VLOOKUP(D65,#REF!,51,0)</f>
        <v>#REF!</v>
      </c>
      <c r="X65" s="5" t="e">
        <f t="shared" si="14"/>
        <v>#REF!</v>
      </c>
      <c r="Y65" s="5" t="s">
        <v>192</v>
      </c>
      <c r="Z65" s="5" t="s">
        <v>193</v>
      </c>
      <c r="AA65" s="14">
        <v>16.82</v>
      </c>
      <c r="AB65" s="14">
        <v>46312</v>
      </c>
      <c r="AC65" s="14" t="e">
        <f>ROUND(VLOOKUP(D65,#REF!,59,0),0)</f>
        <v>#REF!</v>
      </c>
      <c r="AD65" s="14" t="e">
        <f t="shared" si="40"/>
        <v>#REF!</v>
      </c>
      <c r="AE65" s="14">
        <v>46312</v>
      </c>
      <c r="AF65" s="14">
        <f t="shared" si="41"/>
        <v>46312</v>
      </c>
      <c r="AG65" s="14">
        <f t="shared" si="42"/>
        <v>0</v>
      </c>
      <c r="AH65" s="14">
        <v>0</v>
      </c>
      <c r="AI65" s="14"/>
      <c r="AJ65" s="14"/>
      <c r="AK65" s="14">
        <v>0</v>
      </c>
      <c r="AL65" s="14"/>
      <c r="AM65" s="14"/>
      <c r="AN65" s="14">
        <v>0</v>
      </c>
      <c r="AO65" s="14">
        <v>0</v>
      </c>
      <c r="AP65" s="14">
        <f>IFERROR(VLOOKUP('Feb for check'!D65,#REF!,15,0),0)</f>
        <v>0</v>
      </c>
      <c r="AQ65" s="14">
        <f t="shared" si="18"/>
        <v>0</v>
      </c>
      <c r="AR65" s="14">
        <v>0</v>
      </c>
      <c r="AS65" s="14">
        <f t="shared" si="19"/>
        <v>0</v>
      </c>
      <c r="AT65" s="14">
        <f t="shared" si="20"/>
        <v>0</v>
      </c>
      <c r="AU65" s="14">
        <v>0</v>
      </c>
      <c r="AV65" s="14"/>
      <c r="AW65" s="14">
        <v>0</v>
      </c>
      <c r="AX65" s="14"/>
      <c r="AY65" s="14">
        <v>0</v>
      </c>
      <c r="AZ65" s="14"/>
      <c r="BA65" s="14">
        <v>422.25</v>
      </c>
      <c r="BB65" s="14">
        <f>IFERROR(VLOOKUP(D65,#REF!,2,0),0)</f>
        <v>0</v>
      </c>
      <c r="BC65" s="14" t="e">
        <f>MAX(VLOOKUP(D65,#REF!,13,0)-VLOOKUP(D65,#REF!,14,0),0)</f>
        <v>#REF!</v>
      </c>
      <c r="BD65" s="14">
        <f>IFERROR(VLOOKUP(D65,#REF!,3,0),0)</f>
        <v>0</v>
      </c>
      <c r="BE65" s="14" t="e">
        <f>MAX(VLOOKUP(D65,#REF!,22,0)-VLOOKUP(D65,#REF!,23,0),0)</f>
        <v>#REF!</v>
      </c>
      <c r="BF65" s="14" t="e">
        <f t="shared" si="21"/>
        <v>#REF!</v>
      </c>
      <c r="BG65" s="14" t="e">
        <f t="shared" si="22"/>
        <v>#REF!</v>
      </c>
      <c r="BH65" s="14">
        <v>0</v>
      </c>
      <c r="BI65" s="14"/>
      <c r="BJ65" s="14"/>
      <c r="BK65" s="14">
        <v>459</v>
      </c>
      <c r="BL65" s="14">
        <f t="shared" si="23"/>
        <v>459</v>
      </c>
      <c r="BM65" s="14">
        <f t="shared" si="24"/>
        <v>0</v>
      </c>
      <c r="BN65" s="14">
        <v>0</v>
      </c>
      <c r="BO65" s="14"/>
      <c r="BP65" s="14"/>
      <c r="BQ65" s="14"/>
      <c r="BR65" s="14">
        <v>0</v>
      </c>
      <c r="BS65" s="14"/>
      <c r="BT65" s="14">
        <v>0</v>
      </c>
      <c r="BU65" s="14"/>
      <c r="BV65" s="14">
        <v>0</v>
      </c>
      <c r="BW65" s="14"/>
      <c r="BX65" s="14">
        <v>47193.25</v>
      </c>
      <c r="BY65" s="14">
        <f t="shared" si="25"/>
        <v>47193.25</v>
      </c>
      <c r="BZ65" s="14">
        <f t="shared" si="26"/>
        <v>0</v>
      </c>
      <c r="CA65" s="14">
        <v>46734.25</v>
      </c>
      <c r="CB65" s="14">
        <f t="shared" si="27"/>
        <v>46734.25</v>
      </c>
      <c r="CC65" s="14">
        <f t="shared" si="28"/>
        <v>0</v>
      </c>
      <c r="CD65" s="14">
        <v>0</v>
      </c>
      <c r="CE65" s="14"/>
      <c r="CF65" s="14"/>
      <c r="CG65" s="14">
        <v>0</v>
      </c>
      <c r="CH65" s="14"/>
      <c r="CI65" s="14">
        <v>1522.5862999999999</v>
      </c>
      <c r="CJ65" s="14">
        <v>0.05</v>
      </c>
      <c r="CK65" s="14"/>
      <c r="CL65" s="14">
        <v>0</v>
      </c>
      <c r="CM65" s="14">
        <v>0.1</v>
      </c>
      <c r="CN65" s="14">
        <v>0</v>
      </c>
      <c r="CO65" s="14">
        <v>0</v>
      </c>
      <c r="CP65" s="14">
        <v>0</v>
      </c>
      <c r="CQ65" s="14"/>
      <c r="CR65" s="14">
        <v>0</v>
      </c>
      <c r="CS65" s="14"/>
      <c r="CT65" s="14">
        <v>1500</v>
      </c>
      <c r="CU65" s="14">
        <f t="shared" si="43"/>
        <v>1500</v>
      </c>
      <c r="CV65" s="14">
        <f t="shared" si="44"/>
        <v>0</v>
      </c>
      <c r="CW65" s="14">
        <v>2336.71</v>
      </c>
      <c r="CX65" s="14">
        <f t="shared" si="31"/>
        <v>2336.71</v>
      </c>
      <c r="CY65" s="14">
        <f t="shared" si="32"/>
        <v>0</v>
      </c>
      <c r="CZ65" s="14">
        <v>1500</v>
      </c>
      <c r="DA65" s="14">
        <f t="shared" si="33"/>
        <v>1500</v>
      </c>
      <c r="DB65" s="14">
        <f t="shared" si="34"/>
        <v>0</v>
      </c>
      <c r="DC65" s="14">
        <v>3173.43</v>
      </c>
      <c r="DD65" s="14">
        <f t="shared" si="39"/>
        <v>3173.43</v>
      </c>
      <c r="DE65" s="14">
        <f t="shared" si="35"/>
        <v>0</v>
      </c>
      <c r="DF65" s="14">
        <v>43356.54</v>
      </c>
      <c r="DG65" s="14">
        <f t="shared" si="36"/>
        <v>43356.54</v>
      </c>
      <c r="DH65" s="14">
        <f t="shared" si="37"/>
        <v>0</v>
      </c>
      <c r="DI65" s="14">
        <v>2237.92</v>
      </c>
      <c r="DJ65" s="14">
        <f>IFERROR(VLOOKUP(D65,#REF!,2,0),0)</f>
        <v>0</v>
      </c>
      <c r="DK65" s="14">
        <f t="shared" si="38"/>
        <v>-2237.92</v>
      </c>
      <c r="DL65" s="14">
        <v>47193.25</v>
      </c>
      <c r="DM65" s="14">
        <v>754284.97</v>
      </c>
      <c r="DN65" s="14">
        <v>3859.33</v>
      </c>
      <c r="DO65" s="14">
        <v>422.25</v>
      </c>
      <c r="DP65" s="14">
        <v>0</v>
      </c>
      <c r="DQ65" s="14">
        <v>46734.25</v>
      </c>
      <c r="DR65" s="14">
        <v>28</v>
      </c>
      <c r="DS65" s="14">
        <v>0</v>
      </c>
      <c r="DT65" s="5" t="s">
        <v>206</v>
      </c>
      <c r="DU65" s="5" t="s">
        <v>195</v>
      </c>
      <c r="DV65" s="5" t="s">
        <v>196</v>
      </c>
      <c r="DW65" s="5" t="s">
        <v>197</v>
      </c>
    </row>
    <row r="66" spans="1:127" ht="16.5">
      <c r="A66" s="5" t="s">
        <v>184</v>
      </c>
      <c r="B66" s="5" t="s">
        <v>147</v>
      </c>
      <c r="C66" s="5" t="s">
        <v>148</v>
      </c>
      <c r="D66" s="5" t="s">
        <v>582</v>
      </c>
      <c r="E66" s="5" t="e">
        <f>VLOOKUP(D66,#REF!,1,0)</f>
        <v>#REF!</v>
      </c>
      <c r="F66" s="5" t="s">
        <v>583</v>
      </c>
      <c r="G66" s="5" t="s">
        <v>584</v>
      </c>
      <c r="H66" s="5" t="str">
        <f t="shared" si="0"/>
        <v>Wai Ki Cheng</v>
      </c>
      <c r="I66" s="5" t="e">
        <f>VLOOKUP(D66,#REF!,9,0)</f>
        <v>#REF!</v>
      </c>
      <c r="J66" s="5" t="e">
        <f t="shared" si="1"/>
        <v>#REF!</v>
      </c>
      <c r="K66" s="5" t="s">
        <v>585</v>
      </c>
      <c r="L66" s="5" t="s">
        <v>151</v>
      </c>
      <c r="M66" s="5" t="s">
        <v>586</v>
      </c>
      <c r="N66" s="10" t="e">
        <f>VLOOKUP(D66,#REF!,80,0)</f>
        <v>#REF!</v>
      </c>
      <c r="O66" s="11" t="e">
        <f t="shared" si="11"/>
        <v>#REF!</v>
      </c>
      <c r="P66" s="5" t="s">
        <v>234</v>
      </c>
      <c r="Q66" s="5" t="e">
        <f>VLOOKUP(D66,#REF!,50,0)</f>
        <v>#REF!</v>
      </c>
      <c r="R66" s="5" t="e">
        <f t="shared" si="12"/>
        <v>#REF!</v>
      </c>
      <c r="S66" s="5" t="s">
        <v>587</v>
      </c>
      <c r="T66" s="5" t="e">
        <f>VLOOKUP(D66,#REF!,21,0)</f>
        <v>#REF!</v>
      </c>
      <c r="U66" s="5" t="e">
        <f t="shared" si="13"/>
        <v>#REF!</v>
      </c>
      <c r="V66" s="5" t="s">
        <v>236</v>
      </c>
      <c r="W66" s="5" t="e">
        <f>VLOOKUP(D66,#REF!,51,0)</f>
        <v>#REF!</v>
      </c>
      <c r="X66" s="5" t="e">
        <f t="shared" si="14"/>
        <v>#REF!</v>
      </c>
      <c r="Y66" s="5" t="s">
        <v>192</v>
      </c>
      <c r="Z66" s="5" t="s">
        <v>193</v>
      </c>
      <c r="AA66" s="14">
        <v>9.7899999999999991</v>
      </c>
      <c r="AB66" s="14">
        <v>53364</v>
      </c>
      <c r="AC66" s="14" t="e">
        <f>ROUND(VLOOKUP(D66,#REF!,59,0),0)</f>
        <v>#REF!</v>
      </c>
      <c r="AD66" s="14" t="e">
        <f t="shared" si="40"/>
        <v>#REF!</v>
      </c>
      <c r="AE66" s="14">
        <v>53364</v>
      </c>
      <c r="AF66" s="14">
        <f t="shared" si="41"/>
        <v>53364</v>
      </c>
      <c r="AG66" s="14">
        <f t="shared" si="42"/>
        <v>0</v>
      </c>
      <c r="AH66" s="14">
        <v>0</v>
      </c>
      <c r="AI66" s="14"/>
      <c r="AJ66" s="14"/>
      <c r="AK66" s="14">
        <v>0</v>
      </c>
      <c r="AL66" s="14"/>
      <c r="AM66" s="14"/>
      <c r="AN66" s="14">
        <v>0</v>
      </c>
      <c r="AO66" s="14">
        <v>0</v>
      </c>
      <c r="AP66" s="14">
        <f>IFERROR(VLOOKUP('Feb for check'!D66,#REF!,15,0),0)</f>
        <v>0</v>
      </c>
      <c r="AQ66" s="14">
        <f t="shared" si="18"/>
        <v>0</v>
      </c>
      <c r="AR66" s="14">
        <v>0</v>
      </c>
      <c r="AS66" s="14">
        <f t="shared" si="19"/>
        <v>0</v>
      </c>
      <c r="AT66" s="14">
        <f t="shared" si="20"/>
        <v>0</v>
      </c>
      <c r="AU66" s="14">
        <v>0</v>
      </c>
      <c r="AV66" s="14"/>
      <c r="AW66" s="14">
        <v>0</v>
      </c>
      <c r="AX66" s="14"/>
      <c r="AY66" s="14">
        <v>0</v>
      </c>
      <c r="AZ66" s="14"/>
      <c r="BA66" s="14">
        <v>1673.52</v>
      </c>
      <c r="BB66" s="14">
        <f>IFERROR(VLOOKUP(D66,#REF!,2,0),0)</f>
        <v>0</v>
      </c>
      <c r="BC66" s="14" t="e">
        <f>MAX(VLOOKUP(D66,#REF!,13,0)-VLOOKUP(D66,#REF!,14,0),0)</f>
        <v>#REF!</v>
      </c>
      <c r="BD66" s="14">
        <f>IFERROR(VLOOKUP(D66,#REF!,3,0),0)</f>
        <v>0</v>
      </c>
      <c r="BE66" s="14" t="e">
        <f>MAX(VLOOKUP(D66,#REF!,22,0)-VLOOKUP(D66,#REF!,23,0),0)</f>
        <v>#REF!</v>
      </c>
      <c r="BF66" s="14" t="e">
        <f t="shared" si="21"/>
        <v>#REF!</v>
      </c>
      <c r="BG66" s="14" t="e">
        <f t="shared" si="22"/>
        <v>#REF!</v>
      </c>
      <c r="BH66" s="14">
        <v>0</v>
      </c>
      <c r="BI66" s="14"/>
      <c r="BJ66" s="14"/>
      <c r="BK66" s="14">
        <v>0</v>
      </c>
      <c r="BL66" s="14">
        <f t="shared" si="23"/>
        <v>0</v>
      </c>
      <c r="BM66" s="14">
        <f t="shared" si="24"/>
        <v>0</v>
      </c>
      <c r="BN66" s="14">
        <v>0</v>
      </c>
      <c r="BO66" s="14"/>
      <c r="BP66" s="14"/>
      <c r="BQ66" s="14"/>
      <c r="BR66" s="14">
        <v>0</v>
      </c>
      <c r="BS66" s="14"/>
      <c r="BT66" s="14">
        <v>0</v>
      </c>
      <c r="BU66" s="14"/>
      <c r="BV66" s="14">
        <v>0</v>
      </c>
      <c r="BW66" s="14"/>
      <c r="BX66" s="14">
        <v>55037.52</v>
      </c>
      <c r="BY66" s="14">
        <f t="shared" si="25"/>
        <v>55037.52</v>
      </c>
      <c r="BZ66" s="14">
        <f t="shared" si="26"/>
        <v>0</v>
      </c>
      <c r="CA66" s="14">
        <v>55037.52</v>
      </c>
      <c r="CB66" s="14">
        <f t="shared" si="27"/>
        <v>55037.52</v>
      </c>
      <c r="CC66" s="14">
        <f t="shared" si="28"/>
        <v>0</v>
      </c>
      <c r="CD66" s="14">
        <v>0</v>
      </c>
      <c r="CE66" s="14"/>
      <c r="CF66" s="14"/>
      <c r="CG66" s="14">
        <v>0</v>
      </c>
      <c r="CH66" s="14"/>
      <c r="CI66" s="14">
        <v>1754.4328</v>
      </c>
      <c r="CJ66" s="14">
        <v>0</v>
      </c>
      <c r="CK66" s="14"/>
      <c r="CL66" s="14">
        <v>0</v>
      </c>
      <c r="CM66" s="14">
        <v>7.4999999999999997E-2</v>
      </c>
      <c r="CN66" s="14">
        <v>0</v>
      </c>
      <c r="CO66" s="14">
        <v>0</v>
      </c>
      <c r="CP66" s="14">
        <v>0</v>
      </c>
      <c r="CQ66" s="14"/>
      <c r="CR66" s="14">
        <v>0</v>
      </c>
      <c r="CS66" s="14"/>
      <c r="CT66" s="14">
        <v>1500</v>
      </c>
      <c r="CU66" s="14">
        <f t="shared" si="43"/>
        <v>1500</v>
      </c>
      <c r="CV66" s="14">
        <f t="shared" si="44"/>
        <v>0</v>
      </c>
      <c r="CW66" s="14">
        <v>0</v>
      </c>
      <c r="CX66" s="14">
        <f t="shared" si="31"/>
        <v>0</v>
      </c>
      <c r="CY66" s="14">
        <f t="shared" si="32"/>
        <v>0</v>
      </c>
      <c r="CZ66" s="14">
        <v>1500</v>
      </c>
      <c r="DA66" s="14">
        <f t="shared" si="33"/>
        <v>1500</v>
      </c>
      <c r="DB66" s="14">
        <f t="shared" si="34"/>
        <v>0</v>
      </c>
      <c r="DC66" s="14">
        <v>2627.81</v>
      </c>
      <c r="DD66" s="14">
        <f t="shared" si="39"/>
        <v>2627.81</v>
      </c>
      <c r="DE66" s="14">
        <f t="shared" si="35"/>
        <v>0</v>
      </c>
      <c r="DF66" s="14">
        <v>53537.52</v>
      </c>
      <c r="DG66" s="14">
        <f t="shared" si="36"/>
        <v>53537.52</v>
      </c>
      <c r="DH66" s="14">
        <f t="shared" si="37"/>
        <v>0</v>
      </c>
      <c r="DI66" s="14">
        <v>0</v>
      </c>
      <c r="DJ66" s="14">
        <f>IFERROR(VLOOKUP(D66,#REF!,2,0),0)</f>
        <v>0</v>
      </c>
      <c r="DK66" s="14">
        <f t="shared" si="38"/>
        <v>0</v>
      </c>
      <c r="DL66" s="14">
        <v>55037.52</v>
      </c>
      <c r="DM66" s="14">
        <v>895208.47</v>
      </c>
      <c r="DN66" s="14">
        <v>4447</v>
      </c>
      <c r="DO66" s="14">
        <v>1673.52</v>
      </c>
      <c r="DP66" s="14">
        <v>0</v>
      </c>
      <c r="DQ66" s="14">
        <v>55037.52</v>
      </c>
      <c r="DR66" s="14">
        <v>28</v>
      </c>
      <c r="DS66" s="14">
        <v>0</v>
      </c>
      <c r="DT66" s="5" t="s">
        <v>206</v>
      </c>
      <c r="DU66" s="5" t="s">
        <v>195</v>
      </c>
      <c r="DV66" s="5" t="s">
        <v>196</v>
      </c>
      <c r="DW66" s="5" t="s">
        <v>197</v>
      </c>
    </row>
    <row r="67" spans="1:127" ht="16.5">
      <c r="A67" s="5" t="s">
        <v>184</v>
      </c>
      <c r="B67" s="5" t="s">
        <v>147</v>
      </c>
      <c r="C67" s="5" t="s">
        <v>148</v>
      </c>
      <c r="D67" s="5" t="s">
        <v>588</v>
      </c>
      <c r="E67" s="5" t="e">
        <f>VLOOKUP(D67,#REF!,1,0)</f>
        <v>#REF!</v>
      </c>
      <c r="F67" s="5" t="s">
        <v>583</v>
      </c>
      <c r="G67" s="5" t="s">
        <v>589</v>
      </c>
      <c r="H67" s="5" t="str">
        <f t="shared" ref="H67:H130" si="45">G67&amp;" "&amp;F67</f>
        <v>Wing Sze Cheng</v>
      </c>
      <c r="I67" s="5" t="e">
        <f>VLOOKUP(D67,#REF!,9,0)</f>
        <v>#REF!</v>
      </c>
      <c r="J67" s="5" t="e">
        <f t="shared" ref="J67:J130" si="46">I67=H67</f>
        <v>#REF!</v>
      </c>
      <c r="K67" s="5" t="s">
        <v>590</v>
      </c>
      <c r="L67" s="5" t="s">
        <v>151</v>
      </c>
      <c r="M67" s="5" t="s">
        <v>591</v>
      </c>
      <c r="N67" s="10" t="e">
        <f>VLOOKUP(D67,#REF!,80,0)</f>
        <v>#REF!</v>
      </c>
      <c r="O67" s="11" t="e">
        <f t="shared" si="11"/>
        <v>#REF!</v>
      </c>
      <c r="P67" s="5" t="s">
        <v>275</v>
      </c>
      <c r="Q67" s="5" t="e">
        <f>VLOOKUP(D67,#REF!,50,0)</f>
        <v>#REF!</v>
      </c>
      <c r="R67" s="5" t="e">
        <f t="shared" si="12"/>
        <v>#REF!</v>
      </c>
      <c r="S67" s="5" t="s">
        <v>592</v>
      </c>
      <c r="T67" s="5" t="e">
        <f>VLOOKUP(D67,#REF!,21,0)</f>
        <v>#REF!</v>
      </c>
      <c r="U67" s="5" t="e">
        <f t="shared" si="13"/>
        <v>#REF!</v>
      </c>
      <c r="V67" s="5" t="s">
        <v>277</v>
      </c>
      <c r="W67" s="5" t="e">
        <f>VLOOKUP(D67,#REF!,51,0)</f>
        <v>#REF!</v>
      </c>
      <c r="X67" s="5" t="e">
        <f t="shared" si="14"/>
        <v>#REF!</v>
      </c>
      <c r="Y67" s="5" t="s">
        <v>192</v>
      </c>
      <c r="Z67" s="5" t="s">
        <v>193</v>
      </c>
      <c r="AA67" s="14">
        <v>2.98</v>
      </c>
      <c r="AB67" s="14">
        <v>52566</v>
      </c>
      <c r="AC67" s="14" t="e">
        <f>ROUND(VLOOKUP(D67,#REF!,59,0),0)</f>
        <v>#REF!</v>
      </c>
      <c r="AD67" s="14" t="e">
        <f t="shared" si="40"/>
        <v>#REF!</v>
      </c>
      <c r="AE67" s="14">
        <v>52566</v>
      </c>
      <c r="AF67" s="14">
        <f t="shared" si="41"/>
        <v>52566</v>
      </c>
      <c r="AG67" s="14">
        <f t="shared" si="42"/>
        <v>0</v>
      </c>
      <c r="AH67" s="14">
        <v>0</v>
      </c>
      <c r="AI67" s="14"/>
      <c r="AJ67" s="14"/>
      <c r="AK67" s="14">
        <v>0</v>
      </c>
      <c r="AL67" s="14"/>
      <c r="AM67" s="14"/>
      <c r="AN67" s="14">
        <v>0</v>
      </c>
      <c r="AO67" s="14">
        <v>2500</v>
      </c>
      <c r="AP67" s="14">
        <f>IFERROR(VLOOKUP('Feb for check'!D67,#REF!,15,0),0)</f>
        <v>0</v>
      </c>
      <c r="AQ67" s="14">
        <f t="shared" si="18"/>
        <v>-2500</v>
      </c>
      <c r="AR67" s="14">
        <v>2500</v>
      </c>
      <c r="AS67" s="14">
        <f t="shared" si="19"/>
        <v>2500</v>
      </c>
      <c r="AT67" s="14">
        <f t="shared" si="20"/>
        <v>0</v>
      </c>
      <c r="AU67" s="14">
        <v>0</v>
      </c>
      <c r="AV67" s="14"/>
      <c r="AW67" s="14">
        <v>0</v>
      </c>
      <c r="AX67" s="14"/>
      <c r="AY67" s="14">
        <v>0</v>
      </c>
      <c r="AZ67" s="14"/>
      <c r="BA67" s="14">
        <v>1031.26</v>
      </c>
      <c r="BB67" s="14">
        <f>IFERROR(VLOOKUP(D67,#REF!,2,0),0)</f>
        <v>0</v>
      </c>
      <c r="BC67" s="14" t="e">
        <f>MAX(VLOOKUP(D67,#REF!,13,0)-VLOOKUP(D67,#REF!,14,0),0)</f>
        <v>#REF!</v>
      </c>
      <c r="BD67" s="14">
        <f>IFERROR(VLOOKUP(D67,#REF!,3,0),0)</f>
        <v>0</v>
      </c>
      <c r="BE67" s="14" t="e">
        <f>MAX(VLOOKUP(D67,#REF!,22,0)-VLOOKUP(D67,#REF!,23,0),0)</f>
        <v>#REF!</v>
      </c>
      <c r="BF67" s="14" t="e">
        <f t="shared" si="21"/>
        <v>#REF!</v>
      </c>
      <c r="BG67" s="14" t="e">
        <f t="shared" si="22"/>
        <v>#REF!</v>
      </c>
      <c r="BH67" s="14">
        <v>0</v>
      </c>
      <c r="BI67" s="14"/>
      <c r="BJ67" s="14"/>
      <c r="BK67" s="14">
        <v>55</v>
      </c>
      <c r="BL67" s="14">
        <f t="shared" si="23"/>
        <v>55</v>
      </c>
      <c r="BM67" s="14">
        <f t="shared" si="24"/>
        <v>0</v>
      </c>
      <c r="BN67" s="14">
        <v>0</v>
      </c>
      <c r="BO67" s="14"/>
      <c r="BP67" s="14"/>
      <c r="BQ67" s="14"/>
      <c r="BR67" s="14">
        <v>0</v>
      </c>
      <c r="BS67" s="14"/>
      <c r="BT67" s="14">
        <v>0</v>
      </c>
      <c r="BU67" s="14"/>
      <c r="BV67" s="14">
        <v>0</v>
      </c>
      <c r="BW67" s="14"/>
      <c r="BX67" s="14">
        <v>56152.26</v>
      </c>
      <c r="BY67" s="14">
        <f t="shared" si="25"/>
        <v>56152.26</v>
      </c>
      <c r="BZ67" s="14">
        <f t="shared" si="26"/>
        <v>0</v>
      </c>
      <c r="CA67" s="14">
        <v>53597.26</v>
      </c>
      <c r="CB67" s="14">
        <f t="shared" si="27"/>
        <v>53597.26</v>
      </c>
      <c r="CC67" s="14">
        <f t="shared" si="28"/>
        <v>0</v>
      </c>
      <c r="CD67" s="14">
        <v>0</v>
      </c>
      <c r="CE67" s="14"/>
      <c r="CF67" s="14"/>
      <c r="CG67" s="14">
        <v>0</v>
      </c>
      <c r="CH67" s="14"/>
      <c r="CI67" s="14">
        <v>1810.3889999999999</v>
      </c>
      <c r="CJ67" s="14">
        <v>0</v>
      </c>
      <c r="CK67" s="14"/>
      <c r="CL67" s="14">
        <v>0</v>
      </c>
      <c r="CM67" s="14">
        <v>7.4999999999999997E-2</v>
      </c>
      <c r="CN67" s="14">
        <v>0</v>
      </c>
      <c r="CO67" s="14">
        <v>0</v>
      </c>
      <c r="CP67" s="14">
        <v>0</v>
      </c>
      <c r="CQ67" s="14"/>
      <c r="CR67" s="14">
        <v>0</v>
      </c>
      <c r="CS67" s="14"/>
      <c r="CT67" s="14">
        <v>1500</v>
      </c>
      <c r="CU67" s="14">
        <f t="shared" si="43"/>
        <v>1500</v>
      </c>
      <c r="CV67" s="14">
        <f t="shared" si="44"/>
        <v>0</v>
      </c>
      <c r="CW67" s="14">
        <v>0</v>
      </c>
      <c r="CX67" s="14">
        <f t="shared" si="31"/>
        <v>0</v>
      </c>
      <c r="CY67" s="14">
        <f t="shared" si="32"/>
        <v>0</v>
      </c>
      <c r="CZ67" s="14">
        <v>1500</v>
      </c>
      <c r="DA67" s="14">
        <f t="shared" si="33"/>
        <v>1500</v>
      </c>
      <c r="DB67" s="14">
        <f t="shared" si="34"/>
        <v>0</v>
      </c>
      <c r="DC67" s="14">
        <v>2519.79</v>
      </c>
      <c r="DD67" s="14">
        <f t="shared" si="39"/>
        <v>2519.79</v>
      </c>
      <c r="DE67" s="14">
        <f t="shared" si="35"/>
        <v>0</v>
      </c>
      <c r="DF67" s="14">
        <v>54652.26</v>
      </c>
      <c r="DG67" s="14">
        <f t="shared" si="36"/>
        <v>54652.26</v>
      </c>
      <c r="DH67" s="14">
        <f t="shared" si="37"/>
        <v>0</v>
      </c>
      <c r="DI67" s="14">
        <v>268.10000000000002</v>
      </c>
      <c r="DJ67" s="14">
        <f>IFERROR(VLOOKUP(D67,#REF!,2,0),0)</f>
        <v>0</v>
      </c>
      <c r="DK67" s="14">
        <f t="shared" si="38"/>
        <v>-268.10000000000002</v>
      </c>
      <c r="DL67" s="14">
        <v>53652.26</v>
      </c>
      <c r="DM67" s="14">
        <v>892812.82</v>
      </c>
      <c r="DN67" s="14">
        <v>4380.5</v>
      </c>
      <c r="DO67" s="14">
        <v>1031.26</v>
      </c>
      <c r="DP67" s="14">
        <v>0</v>
      </c>
      <c r="DQ67" s="14">
        <v>56097.26</v>
      </c>
      <c r="DR67" s="14">
        <v>28</v>
      </c>
      <c r="DS67" s="14">
        <v>0</v>
      </c>
      <c r="DT67" s="5" t="s">
        <v>206</v>
      </c>
      <c r="DU67" s="5" t="s">
        <v>195</v>
      </c>
      <c r="DV67" s="5" t="s">
        <v>196</v>
      </c>
      <c r="DW67" s="5" t="s">
        <v>197</v>
      </c>
    </row>
    <row r="68" spans="1:127" ht="16.5">
      <c r="A68" s="5" t="s">
        <v>184</v>
      </c>
      <c r="B68" s="5" t="s">
        <v>147</v>
      </c>
      <c r="C68" s="5" t="s">
        <v>148</v>
      </c>
      <c r="D68" s="5" t="s">
        <v>593</v>
      </c>
      <c r="E68" s="5" t="e">
        <f>VLOOKUP(D68,#REF!,1,0)</f>
        <v>#REF!</v>
      </c>
      <c r="F68" s="5" t="s">
        <v>230</v>
      </c>
      <c r="G68" s="5" t="s">
        <v>594</v>
      </c>
      <c r="H68" s="5" t="str">
        <f t="shared" si="45"/>
        <v>So San Chau</v>
      </c>
      <c r="I68" s="5" t="e">
        <f>VLOOKUP(D68,#REF!,9,0)</f>
        <v>#REF!</v>
      </c>
      <c r="J68" s="5" t="e">
        <f t="shared" si="46"/>
        <v>#REF!</v>
      </c>
      <c r="K68" s="5"/>
      <c r="L68" s="5" t="s">
        <v>151</v>
      </c>
      <c r="M68" s="5" t="s">
        <v>595</v>
      </c>
      <c r="N68" s="10" t="e">
        <f>VLOOKUP(D68,#REF!,80,0)</f>
        <v>#REF!</v>
      </c>
      <c r="O68" s="11" t="e">
        <f t="shared" ref="O68:O131" si="47">N68-M68</f>
        <v>#REF!</v>
      </c>
      <c r="P68" s="5" t="s">
        <v>596</v>
      </c>
      <c r="Q68" s="5" t="e">
        <f>VLOOKUP(D68,#REF!,50,0)</f>
        <v>#REF!</v>
      </c>
      <c r="R68" s="5" t="e">
        <f t="shared" ref="R68:R131" si="48">Q68=P68</f>
        <v>#REF!</v>
      </c>
      <c r="S68" s="5" t="s">
        <v>460</v>
      </c>
      <c r="T68" s="5" t="e">
        <f>VLOOKUP(D68,#REF!,21,0)</f>
        <v>#REF!</v>
      </c>
      <c r="U68" s="5" t="e">
        <f t="shared" ref="U68:U131" si="49">T68=S68</f>
        <v>#REF!</v>
      </c>
      <c r="V68" s="5" t="s">
        <v>597</v>
      </c>
      <c r="W68" s="5" t="e">
        <f>VLOOKUP(D68,#REF!,51,0)</f>
        <v>#REF!</v>
      </c>
      <c r="X68" s="5" t="e">
        <f t="shared" ref="X68:X131" si="50">W68=V68</f>
        <v>#REF!</v>
      </c>
      <c r="Y68" s="5" t="s">
        <v>192</v>
      </c>
      <c r="Z68" s="5" t="s">
        <v>193</v>
      </c>
      <c r="AA68" s="14">
        <v>3.06</v>
      </c>
      <c r="AB68" s="14">
        <v>53163</v>
      </c>
      <c r="AC68" s="14" t="e">
        <f>ROUND(VLOOKUP(D68,#REF!,59,0),0)</f>
        <v>#REF!</v>
      </c>
      <c r="AD68" s="14" t="e">
        <f t="shared" si="40"/>
        <v>#REF!</v>
      </c>
      <c r="AE68" s="14">
        <v>53163</v>
      </c>
      <c r="AF68" s="14">
        <f t="shared" si="41"/>
        <v>53163</v>
      </c>
      <c r="AG68" s="14">
        <f t="shared" si="42"/>
        <v>0</v>
      </c>
      <c r="AH68" s="14">
        <v>0</v>
      </c>
      <c r="AI68" s="14"/>
      <c r="AJ68" s="14"/>
      <c r="AK68" s="14">
        <v>0</v>
      </c>
      <c r="AL68" s="14"/>
      <c r="AM68" s="14"/>
      <c r="AN68" s="14">
        <v>0</v>
      </c>
      <c r="AO68" s="14">
        <v>0</v>
      </c>
      <c r="AP68" s="14">
        <f>IFERROR(VLOOKUP('Feb for check'!D68,#REF!,15,0),0)</f>
        <v>0</v>
      </c>
      <c r="AQ68" s="14">
        <f t="shared" ref="AQ68:AQ131" si="51">AP68-AO68</f>
        <v>0</v>
      </c>
      <c r="AR68" s="14">
        <v>0</v>
      </c>
      <c r="AS68" s="14">
        <f t="shared" ref="AS68:AS131" si="52">AO68</f>
        <v>0</v>
      </c>
      <c r="AT68" s="14">
        <f t="shared" ref="AT68:AT131" si="53">AS68-AR68</f>
        <v>0</v>
      </c>
      <c r="AU68" s="14">
        <v>0</v>
      </c>
      <c r="AV68" s="14"/>
      <c r="AW68" s="14">
        <v>0</v>
      </c>
      <c r="AX68" s="14"/>
      <c r="AY68" s="14">
        <v>0</v>
      </c>
      <c r="AZ68" s="14"/>
      <c r="BA68" s="14">
        <v>0</v>
      </c>
      <c r="BB68" s="14">
        <f>IFERROR(VLOOKUP(D68,#REF!,2,0),0)</f>
        <v>0</v>
      </c>
      <c r="BC68" s="14" t="e">
        <f>MAX(VLOOKUP(D68,#REF!,13,0)-VLOOKUP(D68,#REF!,14,0),0)</f>
        <v>#REF!</v>
      </c>
      <c r="BD68" s="14">
        <f>IFERROR(VLOOKUP(D68,#REF!,3,0),0)</f>
        <v>0</v>
      </c>
      <c r="BE68" s="14" t="e">
        <f>MAX(VLOOKUP(D68,#REF!,22,0)-VLOOKUP(D68,#REF!,23,0),0)</f>
        <v>#REF!</v>
      </c>
      <c r="BF68" s="14" t="e">
        <f t="shared" ref="BF68:BF131" si="54">BB68*BC68+BD68*BE68</f>
        <v>#REF!</v>
      </c>
      <c r="BG68" s="14" t="e">
        <f t="shared" ref="BG68:BG131" si="55">BF68-BA68</f>
        <v>#REF!</v>
      </c>
      <c r="BH68" s="14">
        <v>0</v>
      </c>
      <c r="BI68" s="14"/>
      <c r="BJ68" s="14"/>
      <c r="BK68" s="14">
        <v>917</v>
      </c>
      <c r="BL68" s="14">
        <f t="shared" ref="BL68:BL131" si="56">ROUNDUP(DI68/(1-0.17)*0.17,0)</f>
        <v>917</v>
      </c>
      <c r="BM68" s="14">
        <f t="shared" ref="BM68:BM131" si="57">BL68-BK68</f>
        <v>0</v>
      </c>
      <c r="BN68" s="14">
        <v>0</v>
      </c>
      <c r="BO68" s="14"/>
      <c r="BP68" s="14"/>
      <c r="BQ68" s="14"/>
      <c r="BR68" s="14">
        <v>0</v>
      </c>
      <c r="BS68" s="14"/>
      <c r="BT68" s="14">
        <v>0</v>
      </c>
      <c r="BU68" s="14"/>
      <c r="BV68" s="14">
        <v>0</v>
      </c>
      <c r="BW68" s="14"/>
      <c r="BX68" s="14">
        <v>54080</v>
      </c>
      <c r="BY68" s="14">
        <f t="shared" ref="BY68:BY131" si="58">SUM(AE68,AH68,AN68,AR68,AU68,AY68,BA68,BH68,BK68,BN68,BR68,BT68)</f>
        <v>54080</v>
      </c>
      <c r="BZ68" s="14">
        <f t="shared" ref="BZ68:BZ131" si="59">BY68-BX68</f>
        <v>0</v>
      </c>
      <c r="CA68" s="14">
        <v>53163</v>
      </c>
      <c r="CB68" s="14">
        <f t="shared" ref="CB68:CB131" si="60">SUM(AE68,AH68,BA68,BH68)</f>
        <v>53163</v>
      </c>
      <c r="CC68" s="14">
        <f t="shared" ref="CC68:CC131" si="61">CB68-CA68</f>
        <v>0</v>
      </c>
      <c r="CD68" s="14">
        <v>0</v>
      </c>
      <c r="CE68" s="14"/>
      <c r="CF68" s="14"/>
      <c r="CG68" s="14">
        <v>0</v>
      </c>
      <c r="CH68" s="14"/>
      <c r="CI68" s="14">
        <v>1747.8245999999999</v>
      </c>
      <c r="CJ68" s="14">
        <v>0.05</v>
      </c>
      <c r="CK68" s="14"/>
      <c r="CL68" s="14">
        <v>0</v>
      </c>
      <c r="CM68" s="14">
        <v>0.1</v>
      </c>
      <c r="CN68" s="14">
        <v>0</v>
      </c>
      <c r="CO68" s="14">
        <v>0</v>
      </c>
      <c r="CP68" s="14">
        <v>0</v>
      </c>
      <c r="CQ68" s="14"/>
      <c r="CR68" s="14">
        <v>0</v>
      </c>
      <c r="CS68" s="14"/>
      <c r="CT68" s="14">
        <v>1500</v>
      </c>
      <c r="CU68" s="14">
        <f t="shared" si="43"/>
        <v>1500</v>
      </c>
      <c r="CV68" s="14">
        <f t="shared" si="44"/>
        <v>0</v>
      </c>
      <c r="CW68" s="14">
        <v>2658.15</v>
      </c>
      <c r="CX68" s="14">
        <f t="shared" ref="CX68:CX130" si="62">ROUND(CA68*CJ68,2)</f>
        <v>2658.15</v>
      </c>
      <c r="CY68" s="14">
        <f t="shared" ref="CY68:CY130" si="63">CX68-CW68</f>
        <v>0</v>
      </c>
      <c r="CZ68" s="14">
        <v>1500</v>
      </c>
      <c r="DA68" s="14">
        <f t="shared" ref="DA68:DA131" si="64">MIN(BX68*5%,1500)</f>
        <v>1500</v>
      </c>
      <c r="DB68" s="14">
        <f t="shared" ref="DB68:DB131" si="65">DA68-CZ68</f>
        <v>0</v>
      </c>
      <c r="DC68" s="14">
        <v>3816.3</v>
      </c>
      <c r="DD68" s="14">
        <f t="shared" ref="DD68:DD130" si="66">MAX(ROUND(CA68*CM68-CZ68,2),0)</f>
        <v>3816.3</v>
      </c>
      <c r="DE68" s="14">
        <f t="shared" ref="DE68:DE130" si="67">DD68-DC68</f>
        <v>0</v>
      </c>
      <c r="DF68" s="14">
        <v>49921.85</v>
      </c>
      <c r="DG68" s="14">
        <f t="shared" ref="DG68:DG131" si="68">SUM(AE68,AH68,AN68,AR68,AU68,AY68,BA68,BH68,BK68,BN68,BR68,BT68,BV68,-CG68,-CP68,-CT68,-CW68)</f>
        <v>49921.85</v>
      </c>
      <c r="DH68" s="14">
        <f t="shared" ref="DH68:DH131" si="69">DG68-DF68</f>
        <v>0</v>
      </c>
      <c r="DI68" s="14">
        <v>4475.8500000000004</v>
      </c>
      <c r="DJ68" s="14">
        <f>IFERROR(VLOOKUP(D68,#REF!,2,0),0)</f>
        <v>0</v>
      </c>
      <c r="DK68" s="14">
        <f t="shared" ref="DK68:DK131" si="70">DJ68-DI68</f>
        <v>-4475.8500000000004</v>
      </c>
      <c r="DL68" s="14">
        <v>54080</v>
      </c>
      <c r="DM68" s="14">
        <v>880336.26</v>
      </c>
      <c r="DN68" s="14">
        <v>4430.25</v>
      </c>
      <c r="DO68" s="14">
        <v>0</v>
      </c>
      <c r="DP68" s="14">
        <v>0</v>
      </c>
      <c r="DQ68" s="14">
        <v>53163</v>
      </c>
      <c r="DR68" s="14">
        <v>28</v>
      </c>
      <c r="DS68" s="14">
        <v>0</v>
      </c>
      <c r="DT68" s="5" t="s">
        <v>206</v>
      </c>
      <c r="DU68" s="5" t="s">
        <v>195</v>
      </c>
      <c r="DV68" s="5" t="s">
        <v>196</v>
      </c>
      <c r="DW68" s="5" t="s">
        <v>197</v>
      </c>
    </row>
    <row r="69" spans="1:127" ht="16.5">
      <c r="A69" s="5" t="s">
        <v>184</v>
      </c>
      <c r="B69" s="5" t="s">
        <v>147</v>
      </c>
      <c r="C69" s="5" t="s">
        <v>148</v>
      </c>
      <c r="D69" s="5" t="s">
        <v>598</v>
      </c>
      <c r="E69" s="5" t="e">
        <f>VLOOKUP(D69,#REF!,1,0)</f>
        <v>#REF!</v>
      </c>
      <c r="F69" s="5" t="s">
        <v>599</v>
      </c>
      <c r="G69" s="5" t="s">
        <v>600</v>
      </c>
      <c r="H69" s="5" t="str">
        <f t="shared" si="45"/>
        <v>JIATONG LI</v>
      </c>
      <c r="I69" s="5" t="e">
        <f>VLOOKUP(D69,#REF!,9,0)</f>
        <v>#REF!</v>
      </c>
      <c r="J69" s="5" t="e">
        <f t="shared" si="46"/>
        <v>#REF!</v>
      </c>
      <c r="K69" s="5" t="s">
        <v>601</v>
      </c>
      <c r="L69" s="5" t="s">
        <v>151</v>
      </c>
      <c r="M69" s="5" t="s">
        <v>602</v>
      </c>
      <c r="N69" s="10" t="e">
        <f>VLOOKUP(D69,#REF!,80,0)</f>
        <v>#REF!</v>
      </c>
      <c r="O69" s="11" t="e">
        <f t="shared" si="47"/>
        <v>#REF!</v>
      </c>
      <c r="P69" s="5" t="s">
        <v>189</v>
      </c>
      <c r="Q69" s="5" t="e">
        <f>VLOOKUP(D69,#REF!,50,0)</f>
        <v>#REF!</v>
      </c>
      <c r="R69" s="5" t="e">
        <f t="shared" si="48"/>
        <v>#REF!</v>
      </c>
      <c r="S69" s="5" t="s">
        <v>454</v>
      </c>
      <c r="T69" s="5" t="e">
        <f>VLOOKUP(D69,#REF!,21,0)</f>
        <v>#REF!</v>
      </c>
      <c r="U69" s="5" t="e">
        <f t="shared" si="49"/>
        <v>#REF!</v>
      </c>
      <c r="V69" s="5" t="s">
        <v>191</v>
      </c>
      <c r="W69" s="5" t="e">
        <f>VLOOKUP(D69,#REF!,51,0)</f>
        <v>#REF!</v>
      </c>
      <c r="X69" s="5" t="e">
        <f t="shared" si="50"/>
        <v>#REF!</v>
      </c>
      <c r="Y69" s="5" t="s">
        <v>192</v>
      </c>
      <c r="Z69" s="5" t="s">
        <v>193</v>
      </c>
      <c r="AA69" s="14">
        <v>1.48</v>
      </c>
      <c r="AB69" s="14">
        <v>35282</v>
      </c>
      <c r="AC69" s="14" t="e">
        <f>ROUND(VLOOKUP(D69,#REF!,59,0),0)</f>
        <v>#REF!</v>
      </c>
      <c r="AD69" s="14" t="e">
        <f t="shared" si="40"/>
        <v>#REF!</v>
      </c>
      <c r="AE69" s="14">
        <v>35282</v>
      </c>
      <c r="AF69" s="14">
        <f t="shared" si="41"/>
        <v>35282</v>
      </c>
      <c r="AG69" s="14">
        <f t="shared" si="42"/>
        <v>0</v>
      </c>
      <c r="AH69" s="14">
        <v>0</v>
      </c>
      <c r="AI69" s="14"/>
      <c r="AJ69" s="14"/>
      <c r="AK69" s="14">
        <v>0</v>
      </c>
      <c r="AL69" s="14"/>
      <c r="AM69" s="14"/>
      <c r="AN69" s="14">
        <v>0</v>
      </c>
      <c r="AO69" s="14">
        <v>2500</v>
      </c>
      <c r="AP69" s="14">
        <f>IFERROR(VLOOKUP('Feb for check'!D69,#REF!,15,0),0)</f>
        <v>0</v>
      </c>
      <c r="AQ69" s="14">
        <f t="shared" si="51"/>
        <v>-2500</v>
      </c>
      <c r="AR69" s="14">
        <v>2500</v>
      </c>
      <c r="AS69" s="14">
        <f t="shared" si="52"/>
        <v>2500</v>
      </c>
      <c r="AT69" s="14">
        <f t="shared" si="53"/>
        <v>0</v>
      </c>
      <c r="AU69" s="14">
        <v>0</v>
      </c>
      <c r="AV69" s="14"/>
      <c r="AW69" s="14">
        <v>0</v>
      </c>
      <c r="AX69" s="14"/>
      <c r="AY69" s="14">
        <v>0</v>
      </c>
      <c r="AZ69" s="14"/>
      <c r="BA69" s="14">
        <v>0</v>
      </c>
      <c r="BB69" s="14">
        <f>IFERROR(VLOOKUP(D69,#REF!,2,0),0)</f>
        <v>0</v>
      </c>
      <c r="BC69" s="14" t="e">
        <f>MAX(VLOOKUP(D69,#REF!,13,0)-VLOOKUP(D69,#REF!,14,0),0)</f>
        <v>#REF!</v>
      </c>
      <c r="BD69" s="14">
        <f>IFERROR(VLOOKUP(D69,#REF!,3,0),0)</f>
        <v>0</v>
      </c>
      <c r="BE69" s="14" t="e">
        <f>MAX(VLOOKUP(D69,#REF!,22,0)-VLOOKUP(D69,#REF!,23,0),0)</f>
        <v>#REF!</v>
      </c>
      <c r="BF69" s="14" t="e">
        <f t="shared" si="54"/>
        <v>#REF!</v>
      </c>
      <c r="BG69" s="14" t="e">
        <f t="shared" si="55"/>
        <v>#REF!</v>
      </c>
      <c r="BH69" s="14">
        <v>0</v>
      </c>
      <c r="BI69" s="14"/>
      <c r="BJ69" s="14"/>
      <c r="BK69" s="14">
        <v>0</v>
      </c>
      <c r="BL69" s="14">
        <f t="shared" si="56"/>
        <v>0</v>
      </c>
      <c r="BM69" s="14">
        <f t="shared" si="57"/>
        <v>0</v>
      </c>
      <c r="BN69" s="14">
        <v>0</v>
      </c>
      <c r="BO69" s="14"/>
      <c r="BP69" s="14"/>
      <c r="BQ69" s="14"/>
      <c r="BR69" s="14">
        <v>8000</v>
      </c>
      <c r="BS69" s="14" t="e">
        <f>VLOOKUP(D69,#REF!,28,0)</f>
        <v>#REF!</v>
      </c>
      <c r="BT69" s="14">
        <v>0</v>
      </c>
      <c r="BU69" s="14"/>
      <c r="BV69" s="14">
        <v>0</v>
      </c>
      <c r="BW69" s="14"/>
      <c r="BX69" s="14">
        <v>45782</v>
      </c>
      <c r="BY69" s="14">
        <f t="shared" si="58"/>
        <v>45782</v>
      </c>
      <c r="BZ69" s="14">
        <f t="shared" si="59"/>
        <v>0</v>
      </c>
      <c r="CA69" s="14">
        <v>35282</v>
      </c>
      <c r="CB69" s="14">
        <f t="shared" si="60"/>
        <v>35282</v>
      </c>
      <c r="CC69" s="14">
        <f t="shared" si="61"/>
        <v>0</v>
      </c>
      <c r="CD69" s="14">
        <v>0</v>
      </c>
      <c r="CE69" s="14"/>
      <c r="CF69" s="14"/>
      <c r="CG69" s="14">
        <v>0</v>
      </c>
      <c r="CH69" s="14"/>
      <c r="CI69" s="14">
        <v>1242.1478999999999</v>
      </c>
      <c r="CJ69" s="14">
        <v>0</v>
      </c>
      <c r="CK69" s="14"/>
      <c r="CL69" s="14">
        <v>0</v>
      </c>
      <c r="CM69" s="14">
        <v>7.4999999999999997E-2</v>
      </c>
      <c r="CN69" s="14">
        <v>0</v>
      </c>
      <c r="CO69" s="14">
        <v>0</v>
      </c>
      <c r="CP69" s="14">
        <v>0</v>
      </c>
      <c r="CQ69" s="14"/>
      <c r="CR69" s="14">
        <v>0</v>
      </c>
      <c r="CS69" s="14"/>
      <c r="CT69" s="14">
        <v>1500</v>
      </c>
      <c r="CU69" s="14">
        <f t="shared" si="43"/>
        <v>1500</v>
      </c>
      <c r="CV69" s="14">
        <f t="shared" si="44"/>
        <v>0</v>
      </c>
      <c r="CW69" s="14">
        <v>0</v>
      </c>
      <c r="CX69" s="14">
        <f t="shared" si="62"/>
        <v>0</v>
      </c>
      <c r="CY69" s="14">
        <f t="shared" si="63"/>
        <v>0</v>
      </c>
      <c r="CZ69" s="14">
        <v>1500</v>
      </c>
      <c r="DA69" s="14">
        <f t="shared" si="64"/>
        <v>1500</v>
      </c>
      <c r="DB69" s="14">
        <f t="shared" si="65"/>
        <v>0</v>
      </c>
      <c r="DC69" s="14">
        <v>1146.1500000000001</v>
      </c>
      <c r="DD69" s="14">
        <f t="shared" si="66"/>
        <v>1146.1500000000001</v>
      </c>
      <c r="DE69" s="14">
        <f t="shared" si="67"/>
        <v>0</v>
      </c>
      <c r="DF69" s="14">
        <v>44282</v>
      </c>
      <c r="DG69" s="14">
        <f t="shared" si="68"/>
        <v>44282</v>
      </c>
      <c r="DH69" s="14">
        <f t="shared" si="69"/>
        <v>0</v>
      </c>
      <c r="DI69" s="14">
        <v>0</v>
      </c>
      <c r="DJ69" s="14">
        <f>IFERROR(VLOOKUP(D69,#REF!,2,0),0)</f>
        <v>0</v>
      </c>
      <c r="DK69" s="14">
        <f t="shared" si="70"/>
        <v>0</v>
      </c>
      <c r="DL69" s="14">
        <v>43282</v>
      </c>
      <c r="DM69" s="14">
        <v>697521.19</v>
      </c>
      <c r="DN69" s="14">
        <v>2940.17</v>
      </c>
      <c r="DO69" s="14">
        <v>0</v>
      </c>
      <c r="DP69" s="14">
        <v>0</v>
      </c>
      <c r="DQ69" s="14">
        <v>37782</v>
      </c>
      <c r="DR69" s="14">
        <v>28</v>
      </c>
      <c r="DS69" s="14">
        <v>0</v>
      </c>
      <c r="DT69" s="5" t="s">
        <v>206</v>
      </c>
      <c r="DU69" s="5" t="s">
        <v>195</v>
      </c>
      <c r="DV69" s="5" t="s">
        <v>196</v>
      </c>
      <c r="DW69" s="5" t="s">
        <v>197</v>
      </c>
    </row>
    <row r="70" spans="1:127" ht="16.5">
      <c r="A70" s="5" t="s">
        <v>184</v>
      </c>
      <c r="B70" s="5" t="s">
        <v>147</v>
      </c>
      <c r="C70" s="5" t="s">
        <v>148</v>
      </c>
      <c r="D70" s="5" t="s">
        <v>603</v>
      </c>
      <c r="E70" s="5" t="e">
        <f>VLOOKUP(D70,#REF!,1,0)</f>
        <v>#REF!</v>
      </c>
      <c r="F70" s="5" t="s">
        <v>199</v>
      </c>
      <c r="G70" s="5" t="s">
        <v>604</v>
      </c>
      <c r="H70" s="5" t="str">
        <f t="shared" si="45"/>
        <v>Wai Shing Tong</v>
      </c>
      <c r="I70" s="5" t="e">
        <f>VLOOKUP(D70,#REF!,9,0)</f>
        <v>#REF!</v>
      </c>
      <c r="J70" s="5" t="e">
        <f t="shared" si="46"/>
        <v>#REF!</v>
      </c>
      <c r="K70" s="5" t="s">
        <v>605</v>
      </c>
      <c r="L70" s="5" t="s">
        <v>151</v>
      </c>
      <c r="M70" s="5" t="s">
        <v>606</v>
      </c>
      <c r="N70" s="10" t="e">
        <f>VLOOKUP(D70,#REF!,80,0)</f>
        <v>#REF!</v>
      </c>
      <c r="O70" s="11" t="s">
        <v>305</v>
      </c>
      <c r="P70" s="5" t="s">
        <v>607</v>
      </c>
      <c r="Q70" s="5" t="e">
        <f>VLOOKUP(D70,#REF!,50,0)</f>
        <v>#REF!</v>
      </c>
      <c r="R70" s="5" t="e">
        <f t="shared" si="48"/>
        <v>#REF!</v>
      </c>
      <c r="S70" s="5" t="s">
        <v>608</v>
      </c>
      <c r="T70" s="5" t="e">
        <f>VLOOKUP(D70,#REF!,21,0)</f>
        <v>#REF!</v>
      </c>
      <c r="U70" s="5" t="e">
        <f t="shared" si="49"/>
        <v>#REF!</v>
      </c>
      <c r="V70" s="5" t="s">
        <v>609</v>
      </c>
      <c r="W70" s="5" t="e">
        <f>VLOOKUP(D70,#REF!,51,0)</f>
        <v>#REF!</v>
      </c>
      <c r="X70" s="5" t="e">
        <f t="shared" si="50"/>
        <v>#REF!</v>
      </c>
      <c r="Y70" s="5" t="s">
        <v>192</v>
      </c>
      <c r="Z70" s="5" t="s">
        <v>193</v>
      </c>
      <c r="AA70" s="14">
        <v>19.329999999999998</v>
      </c>
      <c r="AB70" s="14">
        <v>0</v>
      </c>
      <c r="AC70" s="14"/>
      <c r="AD70" s="14"/>
      <c r="AE70" s="14">
        <v>0</v>
      </c>
      <c r="AF70" s="14">
        <f t="shared" si="41"/>
        <v>0</v>
      </c>
      <c r="AG70" s="14">
        <f t="shared" si="42"/>
        <v>0</v>
      </c>
      <c r="AH70" s="14">
        <v>0</v>
      </c>
      <c r="AI70" s="14"/>
      <c r="AJ70" s="14"/>
      <c r="AK70" s="14">
        <v>0</v>
      </c>
      <c r="AL70" s="14"/>
      <c r="AM70" s="14"/>
      <c r="AN70" s="14">
        <v>0</v>
      </c>
      <c r="AO70" s="14">
        <v>0</v>
      </c>
      <c r="AP70" s="14">
        <f>IFERROR(VLOOKUP('Feb for check'!D70,#REF!,15,0),0)</f>
        <v>0</v>
      </c>
      <c r="AQ70" s="14">
        <f t="shared" si="51"/>
        <v>0</v>
      </c>
      <c r="AR70" s="14">
        <v>0</v>
      </c>
      <c r="AS70" s="14">
        <f t="shared" si="52"/>
        <v>0</v>
      </c>
      <c r="AT70" s="14">
        <f t="shared" si="53"/>
        <v>0</v>
      </c>
      <c r="AU70" s="14">
        <v>0</v>
      </c>
      <c r="AV70" s="14"/>
      <c r="AW70" s="14">
        <v>0</v>
      </c>
      <c r="AX70" s="14"/>
      <c r="AY70" s="14">
        <v>0</v>
      </c>
      <c r="AZ70" s="14"/>
      <c r="BA70" s="14">
        <v>0</v>
      </c>
      <c r="BB70" s="14"/>
      <c r="BC70" s="14"/>
      <c r="BD70" s="14"/>
      <c r="BE70" s="14"/>
      <c r="BF70" s="14"/>
      <c r="BG70" s="14"/>
      <c r="BH70" s="14">
        <v>0</v>
      </c>
      <c r="BI70" s="14"/>
      <c r="BJ70" s="14"/>
      <c r="BK70" s="14">
        <v>0</v>
      </c>
      <c r="BL70" s="14">
        <f t="shared" si="56"/>
        <v>0</v>
      </c>
      <c r="BM70" s="14">
        <f t="shared" si="57"/>
        <v>0</v>
      </c>
      <c r="BN70" s="14">
        <v>0</v>
      </c>
      <c r="BO70" s="14"/>
      <c r="BP70" s="14"/>
      <c r="BQ70" s="14"/>
      <c r="BR70" s="14">
        <v>0</v>
      </c>
      <c r="BS70" s="14"/>
      <c r="BT70" s="14">
        <v>0</v>
      </c>
      <c r="BU70" s="14"/>
      <c r="BV70" s="14">
        <v>162067.16</v>
      </c>
      <c r="BW70" s="14" t="e">
        <f>#REF!</f>
        <v>#REF!</v>
      </c>
      <c r="BX70" s="14">
        <v>238167.85</v>
      </c>
      <c r="BY70" s="14" t="e">
        <f>#REF!</f>
        <v>#REF!</v>
      </c>
      <c r="BZ70" s="14" t="e">
        <f t="shared" si="59"/>
        <v>#REF!</v>
      </c>
      <c r="CA70" s="14">
        <v>215497.77</v>
      </c>
      <c r="CB70" s="14" t="e">
        <f>#REF!</f>
        <v>#REF!</v>
      </c>
      <c r="CC70" s="14" t="e">
        <f t="shared" si="61"/>
        <v>#REF!</v>
      </c>
      <c r="CD70" s="14">
        <v>0</v>
      </c>
      <c r="CE70" s="14"/>
      <c r="CF70" s="14"/>
      <c r="CG70" s="14">
        <v>0</v>
      </c>
      <c r="CH70" s="14"/>
      <c r="CI70" s="14">
        <v>0</v>
      </c>
      <c r="CJ70" s="14">
        <v>0.05</v>
      </c>
      <c r="CK70" s="14"/>
      <c r="CL70" s="14">
        <v>0</v>
      </c>
      <c r="CM70" s="14">
        <v>0.1</v>
      </c>
      <c r="CN70" s="14">
        <v>0</v>
      </c>
      <c r="CO70" s="14">
        <v>0</v>
      </c>
      <c r="CP70" s="14">
        <v>0</v>
      </c>
      <c r="CQ70" s="14"/>
      <c r="CR70" s="14">
        <v>0</v>
      </c>
      <c r="CS70" s="14"/>
      <c r="CT70" s="14">
        <v>1500</v>
      </c>
      <c r="CU70" s="14">
        <f t="shared" si="43"/>
        <v>1500</v>
      </c>
      <c r="CV70" s="14">
        <f t="shared" si="44"/>
        <v>0</v>
      </c>
      <c r="CW70" s="14">
        <v>10774.89</v>
      </c>
      <c r="CX70" s="14">
        <f t="shared" si="62"/>
        <v>10774.89</v>
      </c>
      <c r="CY70" s="14">
        <f t="shared" si="63"/>
        <v>0</v>
      </c>
      <c r="CZ70" s="14">
        <v>1500</v>
      </c>
      <c r="DA70" s="14">
        <f t="shared" si="64"/>
        <v>1500</v>
      </c>
      <c r="DB70" s="14">
        <f t="shared" si="65"/>
        <v>0</v>
      </c>
      <c r="DC70" s="14">
        <v>20049.78</v>
      </c>
      <c r="DD70" s="14">
        <f t="shared" si="66"/>
        <v>20049.78</v>
      </c>
      <c r="DE70" s="14">
        <f t="shared" si="67"/>
        <v>0</v>
      </c>
      <c r="DF70" s="14">
        <v>149792.26999999999</v>
      </c>
      <c r="DG70" s="14">
        <f t="shared" si="68"/>
        <v>149792.27000000002</v>
      </c>
      <c r="DH70" s="14">
        <f t="shared" si="69"/>
        <v>0</v>
      </c>
      <c r="DI70" s="14">
        <v>0</v>
      </c>
      <c r="DJ70" s="14">
        <f>IFERROR(VLOOKUP(D70,#REF!,2,0),0)</f>
        <v>0</v>
      </c>
      <c r="DK70" s="14">
        <f t="shared" si="70"/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5" t="s">
        <v>206</v>
      </c>
      <c r="DU70" s="5" t="s">
        <v>195</v>
      </c>
      <c r="DV70" s="5" t="s">
        <v>196</v>
      </c>
      <c r="DW70" s="5" t="s">
        <v>197</v>
      </c>
    </row>
    <row r="71" spans="1:127" ht="16.5">
      <c r="A71" s="5" t="s">
        <v>184</v>
      </c>
      <c r="B71" s="5" t="s">
        <v>147</v>
      </c>
      <c r="C71" s="5" t="s">
        <v>148</v>
      </c>
      <c r="D71" s="5" t="s">
        <v>610</v>
      </c>
      <c r="E71" s="5" t="e">
        <f>VLOOKUP(D71,#REF!,1,0)</f>
        <v>#REF!</v>
      </c>
      <c r="F71" s="5" t="s">
        <v>611</v>
      </c>
      <c r="G71" s="5" t="s">
        <v>612</v>
      </c>
      <c r="H71" s="5" t="str">
        <f t="shared" si="45"/>
        <v>Wing Yee Fung</v>
      </c>
      <c r="I71" s="5" t="e">
        <f>VLOOKUP(D71,#REF!,9,0)</f>
        <v>#REF!</v>
      </c>
      <c r="J71" s="5" t="e">
        <f t="shared" si="46"/>
        <v>#REF!</v>
      </c>
      <c r="K71" s="5" t="s">
        <v>613</v>
      </c>
      <c r="L71" s="5" t="s">
        <v>151</v>
      </c>
      <c r="M71" s="5" t="s">
        <v>614</v>
      </c>
      <c r="N71" s="10" t="e">
        <f>VLOOKUP(D71,#REF!,80,0)</f>
        <v>#REF!</v>
      </c>
      <c r="O71" s="11" t="e">
        <f t="shared" si="47"/>
        <v>#REF!</v>
      </c>
      <c r="P71" s="5" t="s">
        <v>365</v>
      </c>
      <c r="Q71" s="5" t="e">
        <f>VLOOKUP(D71,#REF!,50,0)</f>
        <v>#REF!</v>
      </c>
      <c r="R71" s="5" t="e">
        <f t="shared" si="48"/>
        <v>#REF!</v>
      </c>
      <c r="S71" s="5" t="s">
        <v>438</v>
      </c>
      <c r="T71" s="5" t="e">
        <f>VLOOKUP(D71,#REF!,21,0)</f>
        <v>#REF!</v>
      </c>
      <c r="U71" s="5" t="e">
        <f t="shared" si="49"/>
        <v>#REF!</v>
      </c>
      <c r="V71" s="5" t="s">
        <v>367</v>
      </c>
      <c r="W71" s="5" t="e">
        <f>VLOOKUP(D71,#REF!,51,0)</f>
        <v>#REF!</v>
      </c>
      <c r="X71" s="5" t="e">
        <f t="shared" si="50"/>
        <v>#REF!</v>
      </c>
      <c r="Y71" s="5" t="s">
        <v>192</v>
      </c>
      <c r="Z71" s="5" t="s">
        <v>193</v>
      </c>
      <c r="AA71" s="14">
        <v>3.54</v>
      </c>
      <c r="AB71" s="14">
        <v>90100</v>
      </c>
      <c r="AC71" s="14" t="e">
        <f>ROUND(VLOOKUP(D71,#REF!,59,0),0)</f>
        <v>#REF!</v>
      </c>
      <c r="AD71" s="14" t="e">
        <f t="shared" si="40"/>
        <v>#REF!</v>
      </c>
      <c r="AE71" s="14">
        <v>90100</v>
      </c>
      <c r="AF71" s="14">
        <f t="shared" si="41"/>
        <v>90100</v>
      </c>
      <c r="AG71" s="14">
        <f t="shared" si="42"/>
        <v>0</v>
      </c>
      <c r="AH71" s="14">
        <v>0</v>
      </c>
      <c r="AI71" s="14"/>
      <c r="AJ71" s="14"/>
      <c r="AK71" s="14">
        <v>0</v>
      </c>
      <c r="AL71" s="14"/>
      <c r="AM71" s="14"/>
      <c r="AN71" s="14">
        <v>0</v>
      </c>
      <c r="AO71" s="14">
        <v>2500</v>
      </c>
      <c r="AP71" s="14">
        <f>IFERROR(VLOOKUP('Feb for check'!D71,#REF!,15,0),0)</f>
        <v>0</v>
      </c>
      <c r="AQ71" s="14">
        <f t="shared" si="51"/>
        <v>-2500</v>
      </c>
      <c r="AR71" s="14">
        <v>2500</v>
      </c>
      <c r="AS71" s="14">
        <f t="shared" si="52"/>
        <v>2500</v>
      </c>
      <c r="AT71" s="14">
        <f t="shared" si="53"/>
        <v>0</v>
      </c>
      <c r="AU71" s="14">
        <v>0</v>
      </c>
      <c r="AV71" s="14"/>
      <c r="AW71" s="14">
        <v>0</v>
      </c>
      <c r="AX71" s="14"/>
      <c r="AY71" s="14">
        <v>0</v>
      </c>
      <c r="AZ71" s="14"/>
      <c r="BA71" s="14">
        <v>4026.9</v>
      </c>
      <c r="BB71" s="14">
        <f>IFERROR(VLOOKUP(D71,#REF!,2,0),0)</f>
        <v>0</v>
      </c>
      <c r="BC71" s="14" t="e">
        <f>MAX(VLOOKUP(D71,#REF!,13,0)-VLOOKUP(D71,#REF!,14,0),0)</f>
        <v>#REF!</v>
      </c>
      <c r="BD71" s="14">
        <f>IFERROR(VLOOKUP(D71,#REF!,3,0),0)</f>
        <v>0</v>
      </c>
      <c r="BE71" s="14" t="e">
        <f>MAX(VLOOKUP(D71,#REF!,22,0)-VLOOKUP(D71,#REF!,23,0),0)</f>
        <v>#REF!</v>
      </c>
      <c r="BF71" s="14" t="e">
        <f t="shared" si="54"/>
        <v>#REF!</v>
      </c>
      <c r="BG71" s="14" t="e">
        <f t="shared" si="55"/>
        <v>#REF!</v>
      </c>
      <c r="BH71" s="14">
        <v>0</v>
      </c>
      <c r="BI71" s="14"/>
      <c r="BJ71" s="14"/>
      <c r="BK71" s="14">
        <v>0</v>
      </c>
      <c r="BL71" s="14">
        <f t="shared" si="56"/>
        <v>0</v>
      </c>
      <c r="BM71" s="14">
        <f t="shared" si="57"/>
        <v>0</v>
      </c>
      <c r="BN71" s="14">
        <v>0</v>
      </c>
      <c r="BO71" s="14"/>
      <c r="BP71" s="14"/>
      <c r="BQ71" s="14"/>
      <c r="BR71" s="14">
        <v>0</v>
      </c>
      <c r="BS71" s="14"/>
      <c r="BT71" s="14">
        <v>0</v>
      </c>
      <c r="BU71" s="14"/>
      <c r="BV71" s="14">
        <v>0</v>
      </c>
      <c r="BW71" s="14"/>
      <c r="BX71" s="14">
        <v>96626.9</v>
      </c>
      <c r="BY71" s="14">
        <f t="shared" si="58"/>
        <v>96626.9</v>
      </c>
      <c r="BZ71" s="14">
        <f t="shared" si="59"/>
        <v>0</v>
      </c>
      <c r="CA71" s="14">
        <v>94126.9</v>
      </c>
      <c r="CB71" s="14">
        <f t="shared" si="60"/>
        <v>94126.9</v>
      </c>
      <c r="CC71" s="14">
        <f t="shared" si="61"/>
        <v>0</v>
      </c>
      <c r="CD71" s="14">
        <v>0</v>
      </c>
      <c r="CE71" s="14"/>
      <c r="CF71" s="14"/>
      <c r="CG71" s="14">
        <v>0</v>
      </c>
      <c r="CH71" s="14"/>
      <c r="CI71" s="14">
        <v>3044.3834999999999</v>
      </c>
      <c r="CJ71" s="14">
        <v>0.03</v>
      </c>
      <c r="CK71" s="14"/>
      <c r="CL71" s="14">
        <v>0</v>
      </c>
      <c r="CM71" s="14">
        <v>0.09</v>
      </c>
      <c r="CN71" s="14">
        <v>0</v>
      </c>
      <c r="CO71" s="14">
        <v>0</v>
      </c>
      <c r="CP71" s="14">
        <v>0</v>
      </c>
      <c r="CQ71" s="14"/>
      <c r="CR71" s="14">
        <v>0</v>
      </c>
      <c r="CS71" s="14"/>
      <c r="CT71" s="14">
        <v>1500</v>
      </c>
      <c r="CU71" s="14">
        <f t="shared" si="43"/>
        <v>1500</v>
      </c>
      <c r="CV71" s="14">
        <f t="shared" si="44"/>
        <v>0</v>
      </c>
      <c r="CW71" s="14">
        <v>2823.81</v>
      </c>
      <c r="CX71" s="14">
        <f t="shared" si="62"/>
        <v>2823.81</v>
      </c>
      <c r="CY71" s="14">
        <f t="shared" si="63"/>
        <v>0</v>
      </c>
      <c r="CZ71" s="14">
        <v>1500</v>
      </c>
      <c r="DA71" s="14">
        <f t="shared" si="64"/>
        <v>1500</v>
      </c>
      <c r="DB71" s="14">
        <f t="shared" si="65"/>
        <v>0</v>
      </c>
      <c r="DC71" s="14">
        <v>6971.42</v>
      </c>
      <c r="DD71" s="14">
        <f t="shared" si="66"/>
        <v>6971.42</v>
      </c>
      <c r="DE71" s="14">
        <f t="shared" si="67"/>
        <v>0</v>
      </c>
      <c r="DF71" s="14">
        <v>92303.09</v>
      </c>
      <c r="DG71" s="14">
        <f t="shared" si="68"/>
        <v>92303.09</v>
      </c>
      <c r="DH71" s="14">
        <f t="shared" si="69"/>
        <v>0</v>
      </c>
      <c r="DI71" s="14">
        <v>0</v>
      </c>
      <c r="DJ71" s="14">
        <f>IFERROR(VLOOKUP(D71,#REF!,2,0),0)</f>
        <v>0</v>
      </c>
      <c r="DK71" s="14">
        <f t="shared" si="70"/>
        <v>0</v>
      </c>
      <c r="DL71" s="14">
        <v>94126.9</v>
      </c>
      <c r="DM71" s="14">
        <v>1733577.26</v>
      </c>
      <c r="DN71" s="14">
        <v>7508.33</v>
      </c>
      <c r="DO71" s="14">
        <v>4026.9</v>
      </c>
      <c r="DP71" s="14">
        <v>0</v>
      </c>
      <c r="DQ71" s="14">
        <v>96626.9</v>
      </c>
      <c r="DR71" s="14">
        <v>28</v>
      </c>
      <c r="DS71" s="14">
        <v>0</v>
      </c>
      <c r="DT71" s="5" t="s">
        <v>206</v>
      </c>
      <c r="DU71" s="5" t="s">
        <v>195</v>
      </c>
      <c r="DV71" s="5" t="s">
        <v>196</v>
      </c>
      <c r="DW71" s="5" t="s">
        <v>197</v>
      </c>
    </row>
    <row r="72" spans="1:127" ht="16.5">
      <c r="A72" s="5" t="s">
        <v>184</v>
      </c>
      <c r="B72" s="5" t="s">
        <v>147</v>
      </c>
      <c r="C72" s="5" t="s">
        <v>148</v>
      </c>
      <c r="D72" s="5" t="s">
        <v>615</v>
      </c>
      <c r="E72" s="5" t="e">
        <f>VLOOKUP(D72,#REF!,1,0)</f>
        <v>#REF!</v>
      </c>
      <c r="F72" s="5" t="s">
        <v>375</v>
      </c>
      <c r="G72" s="5" t="s">
        <v>616</v>
      </c>
      <c r="H72" s="5" t="str">
        <f t="shared" si="45"/>
        <v>Man Sin So</v>
      </c>
      <c r="I72" s="5" t="e">
        <f>VLOOKUP(D72,#REF!,9,0)</f>
        <v>#REF!</v>
      </c>
      <c r="J72" s="5" t="e">
        <f t="shared" si="46"/>
        <v>#REF!</v>
      </c>
      <c r="K72" s="5"/>
      <c r="L72" s="5" t="s">
        <v>151</v>
      </c>
      <c r="M72" s="5" t="s">
        <v>617</v>
      </c>
      <c r="N72" s="10" t="e">
        <f>VLOOKUP(D72,#REF!,80,0)</f>
        <v>#REF!</v>
      </c>
      <c r="O72" s="11" t="e">
        <f t="shared" si="47"/>
        <v>#REF!</v>
      </c>
      <c r="P72" s="5" t="s">
        <v>365</v>
      </c>
      <c r="Q72" s="5" t="e">
        <f>VLOOKUP(D72,#REF!,50,0)</f>
        <v>#REF!</v>
      </c>
      <c r="R72" s="5" t="e">
        <f t="shared" si="48"/>
        <v>#REF!</v>
      </c>
      <c r="S72" s="5" t="s">
        <v>618</v>
      </c>
      <c r="T72" s="5" t="e">
        <f>VLOOKUP(D72,#REF!,21,0)</f>
        <v>#REF!</v>
      </c>
      <c r="U72" s="5" t="e">
        <f t="shared" si="49"/>
        <v>#REF!</v>
      </c>
      <c r="V72" s="5" t="s">
        <v>367</v>
      </c>
      <c r="W72" s="5" t="e">
        <f>VLOOKUP(D72,#REF!,51,0)</f>
        <v>#REF!</v>
      </c>
      <c r="X72" s="5" t="e">
        <f t="shared" si="50"/>
        <v>#REF!</v>
      </c>
      <c r="Y72" s="5" t="s">
        <v>192</v>
      </c>
      <c r="Z72" s="5" t="s">
        <v>193</v>
      </c>
      <c r="AA72" s="14">
        <v>3.04</v>
      </c>
      <c r="AB72" s="14">
        <v>51772</v>
      </c>
      <c r="AC72" s="14" t="e">
        <f>ROUND(VLOOKUP(D72,#REF!,59,0),0)</f>
        <v>#REF!</v>
      </c>
      <c r="AD72" s="14" t="e">
        <f t="shared" si="40"/>
        <v>#REF!</v>
      </c>
      <c r="AE72" s="14">
        <v>51772</v>
      </c>
      <c r="AF72" s="14">
        <f t="shared" si="41"/>
        <v>51772</v>
      </c>
      <c r="AG72" s="14">
        <f t="shared" si="42"/>
        <v>0</v>
      </c>
      <c r="AH72" s="14">
        <v>0</v>
      </c>
      <c r="AI72" s="14"/>
      <c r="AJ72" s="14"/>
      <c r="AK72" s="14">
        <v>0</v>
      </c>
      <c r="AL72" s="14"/>
      <c r="AM72" s="14"/>
      <c r="AN72" s="14">
        <v>0</v>
      </c>
      <c r="AO72" s="14">
        <v>2500</v>
      </c>
      <c r="AP72" s="14">
        <f>IFERROR(VLOOKUP('Feb for check'!D72,#REF!,15,0),0)</f>
        <v>0</v>
      </c>
      <c r="AQ72" s="14">
        <f t="shared" si="51"/>
        <v>-2500</v>
      </c>
      <c r="AR72" s="14">
        <v>2500</v>
      </c>
      <c r="AS72" s="14">
        <f t="shared" si="52"/>
        <v>2500</v>
      </c>
      <c r="AT72" s="14">
        <f t="shared" si="53"/>
        <v>0</v>
      </c>
      <c r="AU72" s="14">
        <v>0</v>
      </c>
      <c r="AV72" s="14"/>
      <c r="AW72" s="14">
        <v>0</v>
      </c>
      <c r="AX72" s="14"/>
      <c r="AY72" s="14">
        <v>0</v>
      </c>
      <c r="AZ72" s="14"/>
      <c r="BA72" s="14">
        <v>0</v>
      </c>
      <c r="BB72" s="14">
        <f>IFERROR(VLOOKUP(D72,#REF!,2,0),0)</f>
        <v>0</v>
      </c>
      <c r="BC72" s="14" t="e">
        <f>MAX(VLOOKUP(D72,#REF!,13,0)-VLOOKUP(D72,#REF!,14,0),0)</f>
        <v>#REF!</v>
      </c>
      <c r="BD72" s="14">
        <f>IFERROR(VLOOKUP(D72,#REF!,3,0),0)</f>
        <v>0</v>
      </c>
      <c r="BE72" s="14" t="e">
        <f>MAX(VLOOKUP(D72,#REF!,22,0)-VLOOKUP(D72,#REF!,23,0),0)</f>
        <v>#REF!</v>
      </c>
      <c r="BF72" s="14" t="e">
        <f t="shared" si="54"/>
        <v>#REF!</v>
      </c>
      <c r="BG72" s="14" t="e">
        <f t="shared" si="55"/>
        <v>#REF!</v>
      </c>
      <c r="BH72" s="14">
        <v>0</v>
      </c>
      <c r="BI72" s="14"/>
      <c r="BJ72" s="14"/>
      <c r="BK72" s="14">
        <v>0</v>
      </c>
      <c r="BL72" s="14">
        <f t="shared" si="56"/>
        <v>0</v>
      </c>
      <c r="BM72" s="14">
        <f t="shared" si="57"/>
        <v>0</v>
      </c>
      <c r="BN72" s="14">
        <v>0</v>
      </c>
      <c r="BO72" s="14"/>
      <c r="BP72" s="14"/>
      <c r="BQ72" s="14"/>
      <c r="BR72" s="14">
        <v>0</v>
      </c>
      <c r="BS72" s="14"/>
      <c r="BT72" s="14">
        <v>0</v>
      </c>
      <c r="BU72" s="14"/>
      <c r="BV72" s="14">
        <v>0</v>
      </c>
      <c r="BW72" s="14"/>
      <c r="BX72" s="14">
        <v>54272</v>
      </c>
      <c r="BY72" s="14">
        <f t="shared" si="58"/>
        <v>54272</v>
      </c>
      <c r="BZ72" s="14">
        <f t="shared" si="59"/>
        <v>0</v>
      </c>
      <c r="CA72" s="14">
        <v>51772</v>
      </c>
      <c r="CB72" s="14">
        <f t="shared" si="60"/>
        <v>51772</v>
      </c>
      <c r="CC72" s="14">
        <f t="shared" si="61"/>
        <v>0</v>
      </c>
      <c r="CD72" s="14">
        <v>0</v>
      </c>
      <c r="CE72" s="14"/>
      <c r="CF72" s="14"/>
      <c r="CG72" s="14">
        <v>0</v>
      </c>
      <c r="CH72" s="14"/>
      <c r="CI72" s="14">
        <v>1784.2849000000001</v>
      </c>
      <c r="CJ72" s="14">
        <v>0.05</v>
      </c>
      <c r="CK72" s="14"/>
      <c r="CL72" s="14">
        <v>0</v>
      </c>
      <c r="CM72" s="14">
        <v>0.1</v>
      </c>
      <c r="CN72" s="14">
        <v>0</v>
      </c>
      <c r="CO72" s="14">
        <v>0</v>
      </c>
      <c r="CP72" s="14">
        <v>0</v>
      </c>
      <c r="CQ72" s="14"/>
      <c r="CR72" s="14">
        <v>0</v>
      </c>
      <c r="CS72" s="14"/>
      <c r="CT72" s="14">
        <v>1500</v>
      </c>
      <c r="CU72" s="14">
        <f t="shared" si="43"/>
        <v>1500</v>
      </c>
      <c r="CV72" s="14">
        <f t="shared" si="44"/>
        <v>0</v>
      </c>
      <c r="CW72" s="14">
        <v>2588.6</v>
      </c>
      <c r="CX72" s="14">
        <f t="shared" si="62"/>
        <v>2588.6</v>
      </c>
      <c r="CY72" s="14">
        <f t="shared" si="63"/>
        <v>0</v>
      </c>
      <c r="CZ72" s="14">
        <v>1500</v>
      </c>
      <c r="DA72" s="14">
        <f t="shared" si="64"/>
        <v>1500</v>
      </c>
      <c r="DB72" s="14">
        <f t="shared" si="65"/>
        <v>0</v>
      </c>
      <c r="DC72" s="14">
        <v>3677.2</v>
      </c>
      <c r="DD72" s="14">
        <f t="shared" si="66"/>
        <v>3677.2</v>
      </c>
      <c r="DE72" s="14">
        <f t="shared" si="67"/>
        <v>0</v>
      </c>
      <c r="DF72" s="14">
        <v>50183.4</v>
      </c>
      <c r="DG72" s="14">
        <f t="shared" si="68"/>
        <v>50183.4</v>
      </c>
      <c r="DH72" s="14">
        <f t="shared" si="69"/>
        <v>0</v>
      </c>
      <c r="DI72" s="14">
        <v>0</v>
      </c>
      <c r="DJ72" s="14">
        <f>IFERROR(VLOOKUP(D72,#REF!,2,0),0)</f>
        <v>0</v>
      </c>
      <c r="DK72" s="14">
        <f t="shared" si="70"/>
        <v>0</v>
      </c>
      <c r="DL72" s="14">
        <v>51772</v>
      </c>
      <c r="DM72" s="14">
        <v>824639.93</v>
      </c>
      <c r="DN72" s="14">
        <v>4314.33</v>
      </c>
      <c r="DO72" s="14">
        <v>0</v>
      </c>
      <c r="DP72" s="14">
        <v>0</v>
      </c>
      <c r="DQ72" s="14">
        <v>54272</v>
      </c>
      <c r="DR72" s="14">
        <v>28</v>
      </c>
      <c r="DS72" s="14">
        <v>0</v>
      </c>
      <c r="DT72" s="5" t="s">
        <v>206</v>
      </c>
      <c r="DU72" s="5" t="s">
        <v>195</v>
      </c>
      <c r="DV72" s="5" t="s">
        <v>196</v>
      </c>
      <c r="DW72" s="5" t="s">
        <v>197</v>
      </c>
    </row>
    <row r="73" spans="1:127" ht="16.5">
      <c r="A73" s="5" t="s">
        <v>184</v>
      </c>
      <c r="B73" s="5" t="s">
        <v>147</v>
      </c>
      <c r="C73" s="5" t="s">
        <v>148</v>
      </c>
      <c r="D73" s="5" t="s">
        <v>619</v>
      </c>
      <c r="E73" s="5" t="e">
        <f>VLOOKUP(D73,#REF!,1,0)</f>
        <v>#REF!</v>
      </c>
      <c r="F73" s="5" t="s">
        <v>264</v>
      </c>
      <c r="G73" s="5" t="s">
        <v>620</v>
      </c>
      <c r="H73" s="5" t="str">
        <f t="shared" si="45"/>
        <v>Hoi Ki Wong</v>
      </c>
      <c r="I73" s="5" t="e">
        <f>VLOOKUP(D73,#REF!,9,0)</f>
        <v>#REF!</v>
      </c>
      <c r="J73" s="5" t="e">
        <f t="shared" si="46"/>
        <v>#REF!</v>
      </c>
      <c r="K73" s="5" t="s">
        <v>621</v>
      </c>
      <c r="L73" s="5" t="s">
        <v>151</v>
      </c>
      <c r="M73" s="5" t="s">
        <v>622</v>
      </c>
      <c r="N73" s="10" t="e">
        <f>VLOOKUP(D73,#REF!,80,0)</f>
        <v>#REF!</v>
      </c>
      <c r="O73" s="11" t="e">
        <f t="shared" si="47"/>
        <v>#REF!</v>
      </c>
      <c r="P73" s="5" t="s">
        <v>153</v>
      </c>
      <c r="Q73" s="5" t="e">
        <f>VLOOKUP(D73,#REF!,50,0)</f>
        <v>#REF!</v>
      </c>
      <c r="R73" s="5" t="e">
        <f t="shared" si="48"/>
        <v>#REF!</v>
      </c>
      <c r="S73" s="5" t="s">
        <v>623</v>
      </c>
      <c r="T73" s="5" t="e">
        <f>VLOOKUP(D73,#REF!,21,0)</f>
        <v>#REF!</v>
      </c>
      <c r="U73" s="5" t="e">
        <f t="shared" si="49"/>
        <v>#REF!</v>
      </c>
      <c r="V73" s="5" t="s">
        <v>212</v>
      </c>
      <c r="W73" s="5" t="e">
        <f>VLOOKUP(D73,#REF!,51,0)</f>
        <v>#REF!</v>
      </c>
      <c r="X73" s="5" t="e">
        <f t="shared" si="50"/>
        <v>#REF!</v>
      </c>
      <c r="Y73" s="5" t="s">
        <v>192</v>
      </c>
      <c r="Z73" s="5" t="s">
        <v>193</v>
      </c>
      <c r="AA73" s="14">
        <v>0.79</v>
      </c>
      <c r="AB73" s="14">
        <v>40000</v>
      </c>
      <c r="AC73" s="14" t="e">
        <f>ROUND(VLOOKUP(D73,#REF!,59,0),0)</f>
        <v>#REF!</v>
      </c>
      <c r="AD73" s="14" t="e">
        <f t="shared" si="40"/>
        <v>#REF!</v>
      </c>
      <c r="AE73" s="14">
        <v>40000</v>
      </c>
      <c r="AF73" s="14">
        <f t="shared" si="41"/>
        <v>40000</v>
      </c>
      <c r="AG73" s="14">
        <f t="shared" si="42"/>
        <v>0</v>
      </c>
      <c r="AH73" s="14">
        <v>0</v>
      </c>
      <c r="AI73" s="14"/>
      <c r="AJ73" s="14"/>
      <c r="AK73" s="14">
        <v>0</v>
      </c>
      <c r="AL73" s="14"/>
      <c r="AM73" s="14"/>
      <c r="AN73" s="14">
        <v>0</v>
      </c>
      <c r="AO73" s="14">
        <v>0</v>
      </c>
      <c r="AP73" s="14">
        <f>IFERROR(VLOOKUP('Feb for check'!D73,#REF!,15,0),0)</f>
        <v>0</v>
      </c>
      <c r="AQ73" s="14">
        <f t="shared" si="51"/>
        <v>0</v>
      </c>
      <c r="AR73" s="14">
        <v>0</v>
      </c>
      <c r="AS73" s="14">
        <f t="shared" si="52"/>
        <v>0</v>
      </c>
      <c r="AT73" s="14">
        <f t="shared" si="53"/>
        <v>0</v>
      </c>
      <c r="AU73" s="14">
        <v>0</v>
      </c>
      <c r="AV73" s="14"/>
      <c r="AW73" s="14">
        <v>0</v>
      </c>
      <c r="AX73" s="14"/>
      <c r="AY73" s="14">
        <v>0</v>
      </c>
      <c r="AZ73" s="14"/>
      <c r="BA73" s="14">
        <v>0</v>
      </c>
      <c r="BB73" s="14">
        <f>IFERROR(VLOOKUP(D73,#REF!,2,0),0)</f>
        <v>0</v>
      </c>
      <c r="BC73" s="14" t="e">
        <f>MAX(VLOOKUP(D73,#REF!,13,0)-VLOOKUP(D73,#REF!,14,0),0)</f>
        <v>#REF!</v>
      </c>
      <c r="BD73" s="14">
        <f>IFERROR(VLOOKUP(D73,#REF!,3,0),0)</f>
        <v>0</v>
      </c>
      <c r="BE73" s="14" t="e">
        <f>MAX(VLOOKUP(D73,#REF!,22,0)-VLOOKUP(D73,#REF!,23,0),0)</f>
        <v>#REF!</v>
      </c>
      <c r="BF73" s="14" t="e">
        <f t="shared" si="54"/>
        <v>#REF!</v>
      </c>
      <c r="BG73" s="14" t="e">
        <f t="shared" si="55"/>
        <v>#REF!</v>
      </c>
      <c r="BH73" s="14">
        <v>0</v>
      </c>
      <c r="BI73" s="14"/>
      <c r="BJ73" s="14"/>
      <c r="BK73" s="14">
        <v>55</v>
      </c>
      <c r="BL73" s="14">
        <f t="shared" si="56"/>
        <v>55</v>
      </c>
      <c r="BM73" s="14">
        <f t="shared" si="57"/>
        <v>0</v>
      </c>
      <c r="BN73" s="14">
        <v>0</v>
      </c>
      <c r="BO73" s="14"/>
      <c r="BP73" s="14"/>
      <c r="BQ73" s="14"/>
      <c r="BR73" s="14">
        <v>0</v>
      </c>
      <c r="BS73" s="14"/>
      <c r="BT73" s="14">
        <v>0</v>
      </c>
      <c r="BU73" s="14"/>
      <c r="BV73" s="14">
        <v>0</v>
      </c>
      <c r="BW73" s="14"/>
      <c r="BX73" s="14">
        <v>40055</v>
      </c>
      <c r="BY73" s="14">
        <f t="shared" si="58"/>
        <v>40055</v>
      </c>
      <c r="BZ73" s="14">
        <f t="shared" si="59"/>
        <v>0</v>
      </c>
      <c r="CA73" s="14">
        <v>40000</v>
      </c>
      <c r="CB73" s="14">
        <f t="shared" si="60"/>
        <v>40000</v>
      </c>
      <c r="CC73" s="14">
        <f t="shared" si="61"/>
        <v>0</v>
      </c>
      <c r="CD73" s="14">
        <v>0</v>
      </c>
      <c r="CE73" s="14"/>
      <c r="CF73" s="14"/>
      <c r="CG73" s="14">
        <v>0</v>
      </c>
      <c r="CH73" s="14"/>
      <c r="CI73" s="14">
        <v>1315.0684000000001</v>
      </c>
      <c r="CJ73" s="14">
        <v>0</v>
      </c>
      <c r="CK73" s="14"/>
      <c r="CL73" s="14">
        <v>0</v>
      </c>
      <c r="CM73" s="14">
        <v>7.4999999999999997E-2</v>
      </c>
      <c r="CN73" s="14">
        <v>0</v>
      </c>
      <c r="CO73" s="14">
        <v>0</v>
      </c>
      <c r="CP73" s="14">
        <v>0</v>
      </c>
      <c r="CQ73" s="14"/>
      <c r="CR73" s="14">
        <v>0</v>
      </c>
      <c r="CS73" s="14"/>
      <c r="CT73" s="14">
        <v>1500</v>
      </c>
      <c r="CU73" s="14">
        <f t="shared" si="43"/>
        <v>1500</v>
      </c>
      <c r="CV73" s="14">
        <f t="shared" si="44"/>
        <v>0</v>
      </c>
      <c r="CW73" s="14">
        <v>0</v>
      </c>
      <c r="CX73" s="14">
        <f t="shared" si="62"/>
        <v>0</v>
      </c>
      <c r="CY73" s="14">
        <f t="shared" si="63"/>
        <v>0</v>
      </c>
      <c r="CZ73" s="14">
        <v>1500</v>
      </c>
      <c r="DA73" s="14">
        <f t="shared" si="64"/>
        <v>1500</v>
      </c>
      <c r="DB73" s="14">
        <f t="shared" si="65"/>
        <v>0</v>
      </c>
      <c r="DC73" s="14">
        <v>1500</v>
      </c>
      <c r="DD73" s="14">
        <f t="shared" si="66"/>
        <v>1500</v>
      </c>
      <c r="DE73" s="14">
        <f t="shared" si="67"/>
        <v>0</v>
      </c>
      <c r="DF73" s="14">
        <v>38555</v>
      </c>
      <c r="DG73" s="14">
        <f t="shared" si="68"/>
        <v>38555</v>
      </c>
      <c r="DH73" s="14">
        <f t="shared" si="69"/>
        <v>0</v>
      </c>
      <c r="DI73" s="14">
        <v>268.10000000000002</v>
      </c>
      <c r="DJ73" s="14">
        <f>IFERROR(VLOOKUP(D73,#REF!,2,0),0)</f>
        <v>0</v>
      </c>
      <c r="DK73" s="14">
        <f t="shared" si="70"/>
        <v>-268.10000000000002</v>
      </c>
      <c r="DL73" s="14">
        <v>40055</v>
      </c>
      <c r="DM73" s="14">
        <v>406233.89</v>
      </c>
      <c r="DN73" s="14">
        <v>3333.33</v>
      </c>
      <c r="DO73" s="14">
        <v>0</v>
      </c>
      <c r="DP73" s="14">
        <v>0</v>
      </c>
      <c r="DQ73" s="14">
        <v>40000</v>
      </c>
      <c r="DR73" s="14">
        <v>28</v>
      </c>
      <c r="DS73" s="14">
        <v>0</v>
      </c>
      <c r="DT73" s="5" t="s">
        <v>206</v>
      </c>
      <c r="DU73" s="5" t="s">
        <v>195</v>
      </c>
      <c r="DV73" s="5" t="s">
        <v>196</v>
      </c>
      <c r="DW73" s="5" t="s">
        <v>197</v>
      </c>
    </row>
    <row r="74" spans="1:127" ht="16.5">
      <c r="A74" s="5" t="s">
        <v>184</v>
      </c>
      <c r="B74" s="5" t="s">
        <v>147</v>
      </c>
      <c r="C74" s="5" t="s">
        <v>148</v>
      </c>
      <c r="D74" s="5" t="s">
        <v>624</v>
      </c>
      <c r="E74" s="5" t="e">
        <f>VLOOKUP(D74,#REF!,1,0)</f>
        <v>#REF!</v>
      </c>
      <c r="F74" s="5" t="s">
        <v>625</v>
      </c>
      <c r="G74" s="5" t="s">
        <v>626</v>
      </c>
      <c r="H74" s="5" t="str">
        <f t="shared" si="45"/>
        <v>Ling Cheung Andrew Chuk</v>
      </c>
      <c r="I74" s="5" t="e">
        <f>VLOOKUP(D74,#REF!,9,0)</f>
        <v>#REF!</v>
      </c>
      <c r="J74" s="5" t="e">
        <f t="shared" si="46"/>
        <v>#REF!</v>
      </c>
      <c r="K74" s="5" t="s">
        <v>627</v>
      </c>
      <c r="L74" s="5" t="s">
        <v>151</v>
      </c>
      <c r="M74" s="5" t="s">
        <v>628</v>
      </c>
      <c r="N74" s="10" t="e">
        <f>VLOOKUP(D74,#REF!,80,0)</f>
        <v>#REF!</v>
      </c>
      <c r="O74" s="11" t="e">
        <f t="shared" si="47"/>
        <v>#REF!</v>
      </c>
      <c r="P74" s="5" t="s">
        <v>629</v>
      </c>
      <c r="Q74" s="5" t="e">
        <f>VLOOKUP(D74,#REF!,50,0)</f>
        <v>#REF!</v>
      </c>
      <c r="R74" s="5" t="e">
        <f t="shared" si="48"/>
        <v>#REF!</v>
      </c>
      <c r="S74" s="5" t="s">
        <v>630</v>
      </c>
      <c r="T74" s="5" t="e">
        <f>VLOOKUP(D74,#REF!,21,0)</f>
        <v>#REF!</v>
      </c>
      <c r="U74" s="5" t="e">
        <f t="shared" si="49"/>
        <v>#REF!</v>
      </c>
      <c r="V74" s="5" t="s">
        <v>631</v>
      </c>
      <c r="W74" s="5" t="e">
        <f>VLOOKUP(D74,#REF!,51,0)</f>
        <v>#REF!</v>
      </c>
      <c r="X74" s="5" t="e">
        <f t="shared" si="50"/>
        <v>#REF!</v>
      </c>
      <c r="Y74" s="5" t="s">
        <v>192</v>
      </c>
      <c r="Z74" s="5" t="s">
        <v>193</v>
      </c>
      <c r="AA74" s="14">
        <v>30.83</v>
      </c>
      <c r="AB74" s="14">
        <v>252892</v>
      </c>
      <c r="AC74" s="14" t="e">
        <f>ROUND(VLOOKUP(D74,#REF!,59,0),0)</f>
        <v>#REF!</v>
      </c>
      <c r="AD74" s="14" t="e">
        <f t="shared" si="40"/>
        <v>#REF!</v>
      </c>
      <c r="AE74" s="14">
        <v>252892</v>
      </c>
      <c r="AF74" s="14">
        <f t="shared" si="41"/>
        <v>252892</v>
      </c>
      <c r="AG74" s="14">
        <f t="shared" si="42"/>
        <v>0</v>
      </c>
      <c r="AH74" s="14">
        <v>0</v>
      </c>
      <c r="AI74" s="14"/>
      <c r="AJ74" s="14"/>
      <c r="AK74" s="14">
        <v>0</v>
      </c>
      <c r="AL74" s="14"/>
      <c r="AM74" s="14"/>
      <c r="AN74" s="14">
        <v>0</v>
      </c>
      <c r="AO74" s="14">
        <v>10000</v>
      </c>
      <c r="AP74" s="14">
        <v>10000</v>
      </c>
      <c r="AQ74" s="14">
        <f t="shared" si="51"/>
        <v>0</v>
      </c>
      <c r="AR74" s="14">
        <v>10000</v>
      </c>
      <c r="AS74" s="14">
        <f t="shared" si="52"/>
        <v>10000</v>
      </c>
      <c r="AT74" s="14">
        <f t="shared" si="53"/>
        <v>0</v>
      </c>
      <c r="AU74" s="14">
        <v>0</v>
      </c>
      <c r="AV74" s="14"/>
      <c r="AW74" s="14">
        <v>40000</v>
      </c>
      <c r="AX74" s="17" t="s">
        <v>169</v>
      </c>
      <c r="AY74" s="14">
        <v>40000</v>
      </c>
      <c r="AZ74" t="b">
        <f>AW74=AY74</f>
        <v>1</v>
      </c>
      <c r="BA74" s="14">
        <v>23905.55</v>
      </c>
      <c r="BB74" s="14">
        <f>IFERROR(VLOOKUP(D74,#REF!,2,0),0)</f>
        <v>0</v>
      </c>
      <c r="BC74" s="14" t="e">
        <f>MAX(VLOOKUP(D74,#REF!,13,0)-VLOOKUP(D74,#REF!,14,0),0)</f>
        <v>#REF!</v>
      </c>
      <c r="BD74" s="14">
        <f>IFERROR(VLOOKUP(D74,#REF!,3,0),0)</f>
        <v>0</v>
      </c>
      <c r="BE74" s="14" t="e">
        <f>MAX(VLOOKUP(D74,#REF!,22,0)-VLOOKUP(D74,#REF!,23,0),0)</f>
        <v>#REF!</v>
      </c>
      <c r="BF74" s="14" t="e">
        <f t="shared" si="54"/>
        <v>#REF!</v>
      </c>
      <c r="BG74" s="14" t="e">
        <f t="shared" si="55"/>
        <v>#REF!</v>
      </c>
      <c r="BH74" s="14">
        <v>0</v>
      </c>
      <c r="BI74" s="14"/>
      <c r="BJ74" s="14"/>
      <c r="BK74" s="14">
        <v>0</v>
      </c>
      <c r="BL74" s="14">
        <f t="shared" si="56"/>
        <v>0</v>
      </c>
      <c r="BM74" s="14">
        <f t="shared" si="57"/>
        <v>0</v>
      </c>
      <c r="BN74" s="14">
        <v>0</v>
      </c>
      <c r="BO74" s="14"/>
      <c r="BP74" s="14"/>
      <c r="BQ74" s="14"/>
      <c r="BR74" s="14">
        <v>0</v>
      </c>
      <c r="BS74" s="14"/>
      <c r="BT74" s="14">
        <v>0</v>
      </c>
      <c r="BU74" s="14"/>
      <c r="BV74" s="14">
        <v>0</v>
      </c>
      <c r="BW74" s="14"/>
      <c r="BX74" s="14">
        <v>0</v>
      </c>
      <c r="BY74" s="14"/>
      <c r="BZ74" s="14"/>
      <c r="CA74" s="14">
        <v>0</v>
      </c>
      <c r="CB74" s="14"/>
      <c r="CC74" s="14"/>
      <c r="CD74" s="14">
        <v>252892</v>
      </c>
      <c r="CE74" s="14">
        <f>AE74</f>
        <v>252892</v>
      </c>
      <c r="CF74" s="14">
        <f>CE74-CD74</f>
        <v>0</v>
      </c>
      <c r="CG74" s="14">
        <v>962</v>
      </c>
      <c r="CH74" s="14" t="e">
        <f>VLOOKUP(D74,#REF!,3,0)</f>
        <v>#REF!</v>
      </c>
      <c r="CI74" s="14">
        <v>9958.0931</v>
      </c>
      <c r="CJ74" s="14">
        <v>0</v>
      </c>
      <c r="CK74" s="14"/>
      <c r="CL74" s="14">
        <v>0</v>
      </c>
      <c r="CM74" s="14">
        <v>0</v>
      </c>
      <c r="CN74" s="14">
        <v>0.05</v>
      </c>
      <c r="CO74" s="14">
        <v>6.0999999999999999E-2</v>
      </c>
      <c r="CP74" s="14">
        <v>12644.6</v>
      </c>
      <c r="CQ74" s="14">
        <f>ROUND(CN74*CD74,2)</f>
        <v>12644.6</v>
      </c>
      <c r="CR74" s="14">
        <v>15426.41</v>
      </c>
      <c r="CS74" s="14">
        <f>ROUND(CD74*CO74,2)</f>
        <v>15426.41</v>
      </c>
      <c r="CT74" s="14">
        <v>0</v>
      </c>
      <c r="CU74" s="14"/>
      <c r="CV74" s="14"/>
      <c r="CW74" s="14">
        <v>0</v>
      </c>
      <c r="CX74" s="14">
        <f t="shared" si="62"/>
        <v>0</v>
      </c>
      <c r="CY74" s="14">
        <f t="shared" si="63"/>
        <v>0</v>
      </c>
      <c r="CZ74" s="14">
        <v>0</v>
      </c>
      <c r="DA74" s="14">
        <f t="shared" si="64"/>
        <v>0</v>
      </c>
      <c r="DB74" s="14">
        <f t="shared" si="65"/>
        <v>0</v>
      </c>
      <c r="DC74" s="14">
        <v>0</v>
      </c>
      <c r="DD74" s="14">
        <f t="shared" si="66"/>
        <v>0</v>
      </c>
      <c r="DE74" s="14">
        <f t="shared" si="67"/>
        <v>0</v>
      </c>
      <c r="DF74" s="14">
        <v>313190.95</v>
      </c>
      <c r="DG74" s="14">
        <f t="shared" si="68"/>
        <v>313190.95</v>
      </c>
      <c r="DH74" s="14">
        <f t="shared" si="69"/>
        <v>0</v>
      </c>
      <c r="DI74" s="14">
        <v>0</v>
      </c>
      <c r="DJ74" s="14">
        <f>IFERROR(VLOOKUP(D74,#REF!,2,0),0)</f>
        <v>0</v>
      </c>
      <c r="DK74" s="14">
        <f t="shared" si="70"/>
        <v>0</v>
      </c>
      <c r="DL74" s="14">
        <v>315835.55</v>
      </c>
      <c r="DM74" s="14">
        <v>5622562.8799999999</v>
      </c>
      <c r="DN74" s="14">
        <v>21074.33</v>
      </c>
      <c r="DO74" s="14">
        <v>23905.55</v>
      </c>
      <c r="DP74" s="14">
        <v>224.57</v>
      </c>
      <c r="DQ74" s="14">
        <v>326797.55</v>
      </c>
      <c r="DR74" s="14">
        <v>28</v>
      </c>
      <c r="DS74" s="14">
        <v>0</v>
      </c>
      <c r="DT74" s="5" t="s">
        <v>206</v>
      </c>
      <c r="DU74" s="5" t="s">
        <v>195</v>
      </c>
      <c r="DV74" s="5" t="s">
        <v>196</v>
      </c>
      <c r="DW74" s="5" t="s">
        <v>197</v>
      </c>
    </row>
    <row r="75" spans="1:127" ht="16.5">
      <c r="A75" s="5" t="s">
        <v>184</v>
      </c>
      <c r="B75" s="5" t="s">
        <v>147</v>
      </c>
      <c r="C75" s="5" t="s">
        <v>148</v>
      </c>
      <c r="D75" s="5" t="s">
        <v>632</v>
      </c>
      <c r="E75" s="5" t="e">
        <f>VLOOKUP(D75,#REF!,1,0)</f>
        <v>#REF!</v>
      </c>
      <c r="F75" s="5" t="s">
        <v>310</v>
      </c>
      <c r="G75" s="5" t="s">
        <v>349</v>
      </c>
      <c r="H75" s="5" t="str">
        <f t="shared" si="45"/>
        <v>Wai Fan Tse</v>
      </c>
      <c r="I75" s="5" t="e">
        <f>VLOOKUP(D75,#REF!,9,0)</f>
        <v>#REF!</v>
      </c>
      <c r="J75" s="5" t="e">
        <f t="shared" si="46"/>
        <v>#REF!</v>
      </c>
      <c r="K75" s="5" t="s">
        <v>633</v>
      </c>
      <c r="L75" s="5" t="s">
        <v>151</v>
      </c>
      <c r="M75" s="5" t="s">
        <v>634</v>
      </c>
      <c r="N75" s="10" t="e">
        <f>VLOOKUP(D75,#REF!,80,0)</f>
        <v>#REF!</v>
      </c>
      <c r="O75" s="11" t="e">
        <f t="shared" si="47"/>
        <v>#REF!</v>
      </c>
      <c r="P75" s="5" t="s">
        <v>203</v>
      </c>
      <c r="Q75" s="5" t="e">
        <f>VLOOKUP(D75,#REF!,50,0)</f>
        <v>#REF!</v>
      </c>
      <c r="R75" s="5" t="e">
        <f t="shared" si="48"/>
        <v>#REF!</v>
      </c>
      <c r="S75" s="5" t="s">
        <v>635</v>
      </c>
      <c r="T75" s="5" t="e">
        <f>VLOOKUP(D75,#REF!,21,0)</f>
        <v>#REF!</v>
      </c>
      <c r="U75" s="5" t="e">
        <f t="shared" si="49"/>
        <v>#REF!</v>
      </c>
      <c r="V75" s="5" t="s">
        <v>205</v>
      </c>
      <c r="W75" s="5" t="e">
        <f>VLOOKUP(D75,#REF!,51,0)</f>
        <v>#REF!</v>
      </c>
      <c r="X75" s="5" t="e">
        <f t="shared" si="50"/>
        <v>#REF!</v>
      </c>
      <c r="Y75" s="5" t="s">
        <v>192</v>
      </c>
      <c r="Z75" s="5" t="s">
        <v>193</v>
      </c>
      <c r="AA75" s="14">
        <v>2.64</v>
      </c>
      <c r="AB75" s="14">
        <v>56550</v>
      </c>
      <c r="AC75" s="14" t="e">
        <f>ROUND(VLOOKUP(D75,#REF!,59,0),0)</f>
        <v>#REF!</v>
      </c>
      <c r="AD75" s="14" t="e">
        <f t="shared" si="40"/>
        <v>#REF!</v>
      </c>
      <c r="AE75" s="14">
        <v>56550</v>
      </c>
      <c r="AF75" s="14">
        <f t="shared" si="41"/>
        <v>56550</v>
      </c>
      <c r="AG75" s="14">
        <f t="shared" si="42"/>
        <v>0</v>
      </c>
      <c r="AH75" s="14">
        <v>0</v>
      </c>
      <c r="AI75" s="14"/>
      <c r="AJ75" s="14"/>
      <c r="AK75" s="14">
        <v>0</v>
      </c>
      <c r="AL75" s="14"/>
      <c r="AM75" s="14"/>
      <c r="AN75" s="14">
        <v>0</v>
      </c>
      <c r="AO75" s="14">
        <v>0</v>
      </c>
      <c r="AP75" s="14">
        <f>IFERROR(VLOOKUP('Feb for check'!D75,#REF!,15,0),0)</f>
        <v>0</v>
      </c>
      <c r="AQ75" s="14">
        <f t="shared" si="51"/>
        <v>0</v>
      </c>
      <c r="AR75" s="14">
        <v>0</v>
      </c>
      <c r="AS75" s="14">
        <f t="shared" si="52"/>
        <v>0</v>
      </c>
      <c r="AT75" s="14">
        <f t="shared" si="53"/>
        <v>0</v>
      </c>
      <c r="AU75" s="14">
        <v>0</v>
      </c>
      <c r="AV75" s="14"/>
      <c r="AW75" s="14">
        <v>0</v>
      </c>
      <c r="AX75" s="14"/>
      <c r="AY75" s="14">
        <v>0</v>
      </c>
      <c r="AZ75" s="14"/>
      <c r="BA75" s="14">
        <v>0</v>
      </c>
      <c r="BB75" s="14">
        <f>IFERROR(VLOOKUP(D75,#REF!,2,0),0)</f>
        <v>0</v>
      </c>
      <c r="BC75" s="14" t="e">
        <f>MAX(VLOOKUP(D75,#REF!,13,0)-VLOOKUP(D75,#REF!,14,0),0)</f>
        <v>#REF!</v>
      </c>
      <c r="BD75" s="14">
        <f>IFERROR(VLOOKUP(D75,#REF!,3,0),0)</f>
        <v>0</v>
      </c>
      <c r="BE75" s="14" t="e">
        <f>MAX(VLOOKUP(D75,#REF!,22,0)-VLOOKUP(D75,#REF!,23,0),0)</f>
        <v>#REF!</v>
      </c>
      <c r="BF75" s="14" t="e">
        <f t="shared" si="54"/>
        <v>#REF!</v>
      </c>
      <c r="BG75" s="14" t="e">
        <f t="shared" si="55"/>
        <v>#REF!</v>
      </c>
      <c r="BH75" s="14">
        <v>0</v>
      </c>
      <c r="BI75" s="14"/>
      <c r="BJ75" s="14"/>
      <c r="BK75" s="14">
        <v>0</v>
      </c>
      <c r="BL75" s="14">
        <f t="shared" si="56"/>
        <v>0</v>
      </c>
      <c r="BM75" s="14">
        <f t="shared" si="57"/>
        <v>0</v>
      </c>
      <c r="BN75" s="14">
        <v>0</v>
      </c>
      <c r="BO75" s="14"/>
      <c r="BP75" s="14"/>
      <c r="BQ75" s="14"/>
      <c r="BR75" s="14">
        <v>0</v>
      </c>
      <c r="BS75" s="14"/>
      <c r="BT75" s="14">
        <v>0</v>
      </c>
      <c r="BU75" s="14"/>
      <c r="BV75" s="14">
        <v>0</v>
      </c>
      <c r="BW75" s="14"/>
      <c r="BX75" s="14">
        <v>56550</v>
      </c>
      <c r="BY75" s="14">
        <f t="shared" si="58"/>
        <v>56550</v>
      </c>
      <c r="BZ75" s="14">
        <f t="shared" si="59"/>
        <v>0</v>
      </c>
      <c r="CA75" s="14">
        <v>56550</v>
      </c>
      <c r="CB75" s="14">
        <f t="shared" si="60"/>
        <v>56550</v>
      </c>
      <c r="CC75" s="14">
        <f t="shared" si="61"/>
        <v>0</v>
      </c>
      <c r="CD75" s="14">
        <v>0</v>
      </c>
      <c r="CE75" s="14"/>
      <c r="CF75" s="14"/>
      <c r="CG75" s="14">
        <v>0</v>
      </c>
      <c r="CH75" s="14"/>
      <c r="CI75" s="14">
        <v>1859.1780000000001</v>
      </c>
      <c r="CJ75" s="14">
        <v>0</v>
      </c>
      <c r="CK75" s="14"/>
      <c r="CL75" s="14">
        <v>0</v>
      </c>
      <c r="CM75" s="14">
        <v>7.4999999999999997E-2</v>
      </c>
      <c r="CN75" s="14">
        <v>0</v>
      </c>
      <c r="CO75" s="14">
        <v>0</v>
      </c>
      <c r="CP75" s="14">
        <v>0</v>
      </c>
      <c r="CQ75" s="14"/>
      <c r="CR75" s="14">
        <v>0</v>
      </c>
      <c r="CS75" s="14"/>
      <c r="CT75" s="14">
        <v>1500</v>
      </c>
      <c r="CU75" s="14">
        <f t="shared" ref="CU75:CU91" si="71">MIN(BX75*5%,1500)</f>
        <v>1500</v>
      </c>
      <c r="CV75" s="14">
        <f t="shared" ref="CV75:CV91" si="72">CU75-CT75</f>
        <v>0</v>
      </c>
      <c r="CW75" s="14">
        <v>0</v>
      </c>
      <c r="CX75" s="14">
        <f t="shared" si="62"/>
        <v>0</v>
      </c>
      <c r="CY75" s="14">
        <f t="shared" si="63"/>
        <v>0</v>
      </c>
      <c r="CZ75" s="14">
        <v>1500</v>
      </c>
      <c r="DA75" s="14">
        <f t="shared" si="64"/>
        <v>1500</v>
      </c>
      <c r="DB75" s="14">
        <f t="shared" si="65"/>
        <v>0</v>
      </c>
      <c r="DC75" s="14">
        <v>2741.25</v>
      </c>
      <c r="DD75" s="14">
        <f t="shared" si="66"/>
        <v>2741.25</v>
      </c>
      <c r="DE75" s="14">
        <f t="shared" si="67"/>
        <v>0</v>
      </c>
      <c r="DF75" s="14">
        <v>55050</v>
      </c>
      <c r="DG75" s="14">
        <f t="shared" si="68"/>
        <v>55050</v>
      </c>
      <c r="DH75" s="14">
        <f t="shared" si="69"/>
        <v>0</v>
      </c>
      <c r="DI75" s="14">
        <v>0</v>
      </c>
      <c r="DJ75" s="14">
        <f>IFERROR(VLOOKUP(D75,#REF!,2,0),0)</f>
        <v>0</v>
      </c>
      <c r="DK75" s="14">
        <f t="shared" si="70"/>
        <v>0</v>
      </c>
      <c r="DL75" s="14">
        <v>56550</v>
      </c>
      <c r="DM75" s="14">
        <v>947422.48</v>
      </c>
      <c r="DN75" s="14">
        <v>4712.5</v>
      </c>
      <c r="DO75" s="14">
        <v>0</v>
      </c>
      <c r="DP75" s="14">
        <v>0</v>
      </c>
      <c r="DQ75" s="14">
        <v>56550</v>
      </c>
      <c r="DR75" s="14">
        <v>28</v>
      </c>
      <c r="DS75" s="14">
        <v>0</v>
      </c>
      <c r="DT75" s="5" t="s">
        <v>206</v>
      </c>
      <c r="DU75" s="5" t="s">
        <v>195</v>
      </c>
      <c r="DV75" s="5" t="s">
        <v>196</v>
      </c>
      <c r="DW75" s="5" t="s">
        <v>197</v>
      </c>
    </row>
    <row r="76" spans="1:127" ht="16.5">
      <c r="A76" s="5" t="s">
        <v>184</v>
      </c>
      <c r="B76" s="5" t="s">
        <v>147</v>
      </c>
      <c r="C76" s="5" t="s">
        <v>148</v>
      </c>
      <c r="D76" s="5" t="s">
        <v>636</v>
      </c>
      <c r="E76" s="5" t="e">
        <f>VLOOKUP(D76,#REF!,1,0)</f>
        <v>#REF!</v>
      </c>
      <c r="F76" s="5" t="s">
        <v>611</v>
      </c>
      <c r="G76" s="5" t="s">
        <v>637</v>
      </c>
      <c r="H76" s="5" t="str">
        <f t="shared" si="45"/>
        <v>Tsan Chung Fung</v>
      </c>
      <c r="I76" s="5" t="e">
        <f>VLOOKUP(D76,#REF!,9,0)</f>
        <v>#REF!</v>
      </c>
      <c r="J76" s="5" t="e">
        <f t="shared" si="46"/>
        <v>#REF!</v>
      </c>
      <c r="K76" s="5" t="s">
        <v>638</v>
      </c>
      <c r="L76" s="5" t="s">
        <v>151</v>
      </c>
      <c r="M76" s="5" t="s">
        <v>639</v>
      </c>
      <c r="N76" s="10" t="e">
        <f>VLOOKUP(D76,#REF!,80,0)</f>
        <v>#REF!</v>
      </c>
      <c r="O76" s="11" t="e">
        <f t="shared" si="47"/>
        <v>#REF!</v>
      </c>
      <c r="P76" s="5" t="s">
        <v>365</v>
      </c>
      <c r="Q76" s="5" t="e">
        <f>VLOOKUP(D76,#REF!,50,0)</f>
        <v>#REF!</v>
      </c>
      <c r="R76" s="5" t="e">
        <f t="shared" si="48"/>
        <v>#REF!</v>
      </c>
      <c r="S76" s="5" t="s">
        <v>491</v>
      </c>
      <c r="T76" s="5" t="e">
        <f>VLOOKUP(D76,#REF!,21,0)</f>
        <v>#REF!</v>
      </c>
      <c r="U76" s="5" t="e">
        <f t="shared" si="49"/>
        <v>#REF!</v>
      </c>
      <c r="V76" s="5" t="s">
        <v>367</v>
      </c>
      <c r="W76" s="5" t="e">
        <f>VLOOKUP(D76,#REF!,51,0)</f>
        <v>#REF!</v>
      </c>
      <c r="X76" s="5" t="e">
        <f t="shared" si="50"/>
        <v>#REF!</v>
      </c>
      <c r="Y76" s="5" t="s">
        <v>192</v>
      </c>
      <c r="Z76" s="5" t="s">
        <v>193</v>
      </c>
      <c r="AA76" s="14">
        <v>3.61</v>
      </c>
      <c r="AB76" s="14">
        <v>28906</v>
      </c>
      <c r="AC76" s="14" t="e">
        <f>ROUND(VLOOKUP(D76,#REF!,59,0),0)</f>
        <v>#REF!</v>
      </c>
      <c r="AD76" s="14" t="e">
        <f t="shared" si="40"/>
        <v>#REF!</v>
      </c>
      <c r="AE76" s="14">
        <v>28906</v>
      </c>
      <c r="AF76" s="14">
        <f t="shared" si="41"/>
        <v>28906</v>
      </c>
      <c r="AG76" s="14">
        <f t="shared" si="42"/>
        <v>0</v>
      </c>
      <c r="AH76" s="14">
        <v>0</v>
      </c>
      <c r="AI76" s="14"/>
      <c r="AJ76" s="14"/>
      <c r="AK76" s="14">
        <v>0</v>
      </c>
      <c r="AL76" s="14"/>
      <c r="AM76" s="14"/>
      <c r="AN76" s="14">
        <v>0</v>
      </c>
      <c r="AO76" s="14">
        <v>2500</v>
      </c>
      <c r="AP76" s="14">
        <f>IFERROR(VLOOKUP('Feb for check'!D76,#REF!,15,0),0)</f>
        <v>0</v>
      </c>
      <c r="AQ76" s="14">
        <f t="shared" si="51"/>
        <v>-2500</v>
      </c>
      <c r="AR76" s="14">
        <v>2500</v>
      </c>
      <c r="AS76" s="14">
        <f t="shared" si="52"/>
        <v>2500</v>
      </c>
      <c r="AT76" s="14">
        <f t="shared" si="53"/>
        <v>0</v>
      </c>
      <c r="AU76" s="14">
        <v>0</v>
      </c>
      <c r="AV76" s="14"/>
      <c r="AW76" s="14">
        <v>0</v>
      </c>
      <c r="AX76" s="14"/>
      <c r="AY76" s="14">
        <v>0</v>
      </c>
      <c r="AZ76" s="14"/>
      <c r="BA76" s="14">
        <v>0</v>
      </c>
      <c r="BB76" s="14">
        <f>IFERROR(VLOOKUP(D76,#REF!,2,0),0)</f>
        <v>0</v>
      </c>
      <c r="BC76" s="14" t="e">
        <f>MAX(VLOOKUP(D76,#REF!,13,0)-VLOOKUP(D76,#REF!,14,0),0)</f>
        <v>#REF!</v>
      </c>
      <c r="BD76" s="14">
        <f>IFERROR(VLOOKUP(D76,#REF!,3,0),0)</f>
        <v>0</v>
      </c>
      <c r="BE76" s="14" t="e">
        <f>MAX(VLOOKUP(D76,#REF!,22,0)-VLOOKUP(D76,#REF!,23,0),0)</f>
        <v>#REF!</v>
      </c>
      <c r="BF76" s="14" t="e">
        <f t="shared" si="54"/>
        <v>#REF!</v>
      </c>
      <c r="BG76" s="14" t="e">
        <f t="shared" si="55"/>
        <v>#REF!</v>
      </c>
      <c r="BH76" s="14">
        <v>0</v>
      </c>
      <c r="BI76" s="14"/>
      <c r="BJ76" s="14"/>
      <c r="BK76" s="14">
        <v>0</v>
      </c>
      <c r="BL76" s="14">
        <f t="shared" si="56"/>
        <v>0</v>
      </c>
      <c r="BM76" s="14">
        <f t="shared" si="57"/>
        <v>0</v>
      </c>
      <c r="BN76" s="14">
        <v>0</v>
      </c>
      <c r="BO76" s="14"/>
      <c r="BP76" s="14"/>
      <c r="BQ76" s="14"/>
      <c r="BR76" s="14">
        <v>0</v>
      </c>
      <c r="BS76" s="14"/>
      <c r="BT76" s="14">
        <v>0</v>
      </c>
      <c r="BU76" s="14"/>
      <c r="BV76" s="14">
        <v>0</v>
      </c>
      <c r="BW76" s="14"/>
      <c r="BX76" s="14">
        <v>31406</v>
      </c>
      <c r="BY76" s="14">
        <f t="shared" si="58"/>
        <v>31406</v>
      </c>
      <c r="BZ76" s="14">
        <f t="shared" si="59"/>
        <v>0</v>
      </c>
      <c r="CA76" s="14">
        <v>28906</v>
      </c>
      <c r="CB76" s="14">
        <f t="shared" si="60"/>
        <v>28906</v>
      </c>
      <c r="CC76" s="14">
        <f t="shared" si="61"/>
        <v>0</v>
      </c>
      <c r="CD76" s="14">
        <v>0</v>
      </c>
      <c r="CE76" s="14"/>
      <c r="CF76" s="14"/>
      <c r="CG76" s="14">
        <v>0</v>
      </c>
      <c r="CH76" s="14"/>
      <c r="CI76" s="14">
        <v>1032.5260000000001</v>
      </c>
      <c r="CJ76" s="14">
        <v>0</v>
      </c>
      <c r="CK76" s="14"/>
      <c r="CL76" s="14">
        <v>0</v>
      </c>
      <c r="CM76" s="14">
        <v>7.4999999999999997E-2</v>
      </c>
      <c r="CN76" s="14">
        <v>0</v>
      </c>
      <c r="CO76" s="14">
        <v>0</v>
      </c>
      <c r="CP76" s="14">
        <v>0</v>
      </c>
      <c r="CQ76" s="14"/>
      <c r="CR76" s="14">
        <v>0</v>
      </c>
      <c r="CS76" s="14"/>
      <c r="CT76" s="14">
        <v>1500</v>
      </c>
      <c r="CU76" s="14">
        <f t="shared" si="71"/>
        <v>1500</v>
      </c>
      <c r="CV76" s="14">
        <f t="shared" si="72"/>
        <v>0</v>
      </c>
      <c r="CW76" s="14">
        <v>0</v>
      </c>
      <c r="CX76" s="14">
        <f t="shared" si="62"/>
        <v>0</v>
      </c>
      <c r="CY76" s="14">
        <f t="shared" si="63"/>
        <v>0</v>
      </c>
      <c r="CZ76" s="14">
        <v>1500</v>
      </c>
      <c r="DA76" s="14">
        <f t="shared" si="64"/>
        <v>1500</v>
      </c>
      <c r="DB76" s="14">
        <f t="shared" si="65"/>
        <v>0</v>
      </c>
      <c r="DC76" s="14">
        <v>667.95</v>
      </c>
      <c r="DD76" s="14">
        <f t="shared" si="66"/>
        <v>667.95</v>
      </c>
      <c r="DE76" s="14">
        <f t="shared" si="67"/>
        <v>0</v>
      </c>
      <c r="DF76" s="14">
        <v>29906</v>
      </c>
      <c r="DG76" s="14">
        <f t="shared" si="68"/>
        <v>29906</v>
      </c>
      <c r="DH76" s="14">
        <f t="shared" si="69"/>
        <v>0</v>
      </c>
      <c r="DI76" s="14">
        <v>0</v>
      </c>
      <c r="DJ76" s="14">
        <f>IFERROR(VLOOKUP(D76,#REF!,2,0),0)</f>
        <v>0</v>
      </c>
      <c r="DK76" s="14">
        <f t="shared" si="70"/>
        <v>0</v>
      </c>
      <c r="DL76" s="14">
        <v>28906</v>
      </c>
      <c r="DM76" s="14">
        <v>584158.36</v>
      </c>
      <c r="DN76" s="14">
        <v>2408.83</v>
      </c>
      <c r="DO76" s="14">
        <v>0</v>
      </c>
      <c r="DP76" s="14">
        <v>0</v>
      </c>
      <c r="DQ76" s="14">
        <v>31406</v>
      </c>
      <c r="DR76" s="14">
        <v>28</v>
      </c>
      <c r="DS76" s="14">
        <v>0</v>
      </c>
      <c r="DT76" s="5" t="s">
        <v>206</v>
      </c>
      <c r="DU76" s="5" t="s">
        <v>195</v>
      </c>
      <c r="DV76" s="5" t="s">
        <v>196</v>
      </c>
      <c r="DW76" s="5" t="s">
        <v>197</v>
      </c>
    </row>
    <row r="77" spans="1:127" ht="16.5">
      <c r="A77" s="5" t="s">
        <v>184</v>
      </c>
      <c r="B77" s="5" t="s">
        <v>147</v>
      </c>
      <c r="C77" s="5" t="s">
        <v>148</v>
      </c>
      <c r="D77" s="5" t="s">
        <v>640</v>
      </c>
      <c r="E77" s="5" t="e">
        <f>VLOOKUP(D77,#REF!,1,0)</f>
        <v>#REF!</v>
      </c>
      <c r="F77" s="5" t="s">
        <v>641</v>
      </c>
      <c r="G77" s="5" t="s">
        <v>642</v>
      </c>
      <c r="H77" s="5" t="str">
        <f t="shared" si="45"/>
        <v>De Xuan Kong</v>
      </c>
      <c r="I77" s="5" t="e">
        <f>VLOOKUP(D77,#REF!,9,0)</f>
        <v>#REF!</v>
      </c>
      <c r="J77" s="5" t="e">
        <f t="shared" si="46"/>
        <v>#REF!</v>
      </c>
      <c r="K77" s="5" t="s">
        <v>548</v>
      </c>
      <c r="L77" s="5" t="s">
        <v>151</v>
      </c>
      <c r="M77" s="5" t="s">
        <v>643</v>
      </c>
      <c r="N77" s="10" t="e">
        <f>VLOOKUP(D77,#REF!,80,0)</f>
        <v>#REF!</v>
      </c>
      <c r="O77" s="11" t="e">
        <f t="shared" si="47"/>
        <v>#REF!</v>
      </c>
      <c r="P77" s="5" t="s">
        <v>203</v>
      </c>
      <c r="Q77" s="5" t="e">
        <f>VLOOKUP(D77,#REF!,50,0)</f>
        <v>#REF!</v>
      </c>
      <c r="R77" s="5" t="e">
        <f t="shared" si="48"/>
        <v>#REF!</v>
      </c>
      <c r="S77" s="5" t="s">
        <v>204</v>
      </c>
      <c r="T77" s="5" t="e">
        <f>VLOOKUP(D77,#REF!,21,0)</f>
        <v>#REF!</v>
      </c>
      <c r="U77" s="5" t="e">
        <f t="shared" si="49"/>
        <v>#REF!</v>
      </c>
      <c r="V77" s="5" t="s">
        <v>205</v>
      </c>
      <c r="W77" s="5" t="e">
        <f>VLOOKUP(D77,#REF!,51,0)</f>
        <v>#REF!</v>
      </c>
      <c r="X77" s="5" t="e">
        <f t="shared" si="50"/>
        <v>#REF!</v>
      </c>
      <c r="Y77" s="5" t="s">
        <v>192</v>
      </c>
      <c r="Z77" s="5" t="s">
        <v>193</v>
      </c>
      <c r="AA77" s="14">
        <v>2.33</v>
      </c>
      <c r="AB77" s="14">
        <v>39008</v>
      </c>
      <c r="AC77" s="14" t="e">
        <f>ROUND(VLOOKUP(D77,#REF!,59,0),0)</f>
        <v>#REF!</v>
      </c>
      <c r="AD77" s="14" t="e">
        <f t="shared" ref="AD77:AD132" si="73">AC77-AB77</f>
        <v>#REF!</v>
      </c>
      <c r="AE77" s="14">
        <v>39008</v>
      </c>
      <c r="AF77" s="14">
        <f t="shared" ref="AF77:AF132" si="74">AB77</f>
        <v>39008</v>
      </c>
      <c r="AG77" s="14">
        <f t="shared" ref="AG77:AG132" si="75">AF77-AE77</f>
        <v>0</v>
      </c>
      <c r="AH77" s="14">
        <v>0</v>
      </c>
      <c r="AI77" s="14"/>
      <c r="AJ77" s="14"/>
      <c r="AK77" s="14">
        <v>0</v>
      </c>
      <c r="AL77" s="14"/>
      <c r="AM77" s="14"/>
      <c r="AN77" s="14">
        <v>0</v>
      </c>
      <c r="AO77" s="14">
        <v>0</v>
      </c>
      <c r="AP77" s="14">
        <f>IFERROR(VLOOKUP('Feb for check'!D77,#REF!,15,0),0)</f>
        <v>0</v>
      </c>
      <c r="AQ77" s="14">
        <f t="shared" si="51"/>
        <v>0</v>
      </c>
      <c r="AR77" s="14">
        <v>0</v>
      </c>
      <c r="AS77" s="14">
        <f t="shared" si="52"/>
        <v>0</v>
      </c>
      <c r="AT77" s="14">
        <f t="shared" si="53"/>
        <v>0</v>
      </c>
      <c r="AU77" s="14">
        <v>0</v>
      </c>
      <c r="AV77" s="14"/>
      <c r="AW77" s="14">
        <v>0</v>
      </c>
      <c r="AX77" s="14"/>
      <c r="AY77" s="14">
        <v>0</v>
      </c>
      <c r="AZ77" s="14"/>
      <c r="BA77" s="14">
        <v>0</v>
      </c>
      <c r="BB77" s="14">
        <f>IFERROR(VLOOKUP(D77,#REF!,2,0),0)</f>
        <v>0</v>
      </c>
      <c r="BC77" s="14" t="e">
        <f>MAX(VLOOKUP(D77,#REF!,13,0)-VLOOKUP(D77,#REF!,14,0),0)</f>
        <v>#REF!</v>
      </c>
      <c r="BD77" s="14">
        <f>IFERROR(VLOOKUP(D77,#REF!,3,0),0)</f>
        <v>0</v>
      </c>
      <c r="BE77" s="14" t="e">
        <f>MAX(VLOOKUP(D77,#REF!,22,0)-VLOOKUP(D77,#REF!,23,0),0)</f>
        <v>#REF!</v>
      </c>
      <c r="BF77" s="14" t="e">
        <f t="shared" si="54"/>
        <v>#REF!</v>
      </c>
      <c r="BG77" s="14" t="e">
        <f t="shared" si="55"/>
        <v>#REF!</v>
      </c>
      <c r="BH77" s="14">
        <v>0</v>
      </c>
      <c r="BI77" s="14"/>
      <c r="BJ77" s="14"/>
      <c r="BK77" s="14">
        <v>110</v>
      </c>
      <c r="BL77" s="14">
        <f t="shared" si="56"/>
        <v>110</v>
      </c>
      <c r="BM77" s="14">
        <f t="shared" si="57"/>
        <v>0</v>
      </c>
      <c r="BN77" s="14">
        <v>0</v>
      </c>
      <c r="BO77" s="14"/>
      <c r="BP77" s="14"/>
      <c r="BQ77" s="14"/>
      <c r="BR77" s="14">
        <v>0</v>
      </c>
      <c r="BS77" s="14"/>
      <c r="BT77" s="14">
        <v>0</v>
      </c>
      <c r="BU77" s="14"/>
      <c r="BV77" s="14">
        <v>0</v>
      </c>
      <c r="BW77" s="14"/>
      <c r="BX77" s="14">
        <v>39118</v>
      </c>
      <c r="BY77" s="14">
        <f t="shared" si="58"/>
        <v>39118</v>
      </c>
      <c r="BZ77" s="14">
        <f t="shared" si="59"/>
        <v>0</v>
      </c>
      <c r="CA77" s="14">
        <v>39008</v>
      </c>
      <c r="CB77" s="14">
        <f t="shared" si="60"/>
        <v>39008</v>
      </c>
      <c r="CC77" s="14">
        <f t="shared" si="61"/>
        <v>0</v>
      </c>
      <c r="CD77" s="14">
        <v>0</v>
      </c>
      <c r="CE77" s="14"/>
      <c r="CF77" s="14"/>
      <c r="CG77" s="14">
        <v>0</v>
      </c>
      <c r="CH77" s="14"/>
      <c r="CI77" s="14">
        <v>1282.4547</v>
      </c>
      <c r="CJ77" s="14">
        <v>0</v>
      </c>
      <c r="CK77" s="14"/>
      <c r="CL77" s="14">
        <v>0</v>
      </c>
      <c r="CM77" s="14">
        <v>7.4999999999999997E-2</v>
      </c>
      <c r="CN77" s="14">
        <v>0</v>
      </c>
      <c r="CO77" s="14">
        <v>0</v>
      </c>
      <c r="CP77" s="14">
        <v>0</v>
      </c>
      <c r="CQ77" s="14"/>
      <c r="CR77" s="14">
        <v>0</v>
      </c>
      <c r="CS77" s="14"/>
      <c r="CT77" s="14">
        <v>1500</v>
      </c>
      <c r="CU77" s="14">
        <f t="shared" si="71"/>
        <v>1500</v>
      </c>
      <c r="CV77" s="14">
        <f t="shared" si="72"/>
        <v>0</v>
      </c>
      <c r="CW77" s="14">
        <v>0</v>
      </c>
      <c r="CX77" s="14">
        <f t="shared" si="62"/>
        <v>0</v>
      </c>
      <c r="CY77" s="14">
        <f t="shared" si="63"/>
        <v>0</v>
      </c>
      <c r="CZ77" s="14">
        <v>1500</v>
      </c>
      <c r="DA77" s="14">
        <f t="shared" si="64"/>
        <v>1500</v>
      </c>
      <c r="DB77" s="14">
        <f t="shared" si="65"/>
        <v>0</v>
      </c>
      <c r="DC77" s="14">
        <v>1425.6</v>
      </c>
      <c r="DD77" s="14">
        <f t="shared" si="66"/>
        <v>1425.6</v>
      </c>
      <c r="DE77" s="14">
        <f t="shared" si="67"/>
        <v>0</v>
      </c>
      <c r="DF77" s="14">
        <v>37618</v>
      </c>
      <c r="DG77" s="14">
        <f t="shared" si="68"/>
        <v>37618</v>
      </c>
      <c r="DH77" s="14">
        <f t="shared" si="69"/>
        <v>0</v>
      </c>
      <c r="DI77" s="14">
        <v>536.21</v>
      </c>
      <c r="DJ77" s="14">
        <f>IFERROR(VLOOKUP(D77,#REF!,2,0),0)</f>
        <v>0</v>
      </c>
      <c r="DK77" s="14">
        <f t="shared" si="70"/>
        <v>-536.21</v>
      </c>
      <c r="DL77" s="14">
        <v>39118</v>
      </c>
      <c r="DM77" s="14">
        <v>614334.43000000005</v>
      </c>
      <c r="DN77" s="14">
        <v>3250.67</v>
      </c>
      <c r="DO77" s="14">
        <v>0</v>
      </c>
      <c r="DP77" s="14">
        <v>0</v>
      </c>
      <c r="DQ77" s="14">
        <v>39008</v>
      </c>
      <c r="DR77" s="14">
        <v>28</v>
      </c>
      <c r="DS77" s="14">
        <v>0</v>
      </c>
      <c r="DT77" s="5" t="s">
        <v>206</v>
      </c>
      <c r="DU77" s="5" t="s">
        <v>195</v>
      </c>
      <c r="DV77" s="5" t="s">
        <v>196</v>
      </c>
      <c r="DW77" s="5" t="s">
        <v>197</v>
      </c>
    </row>
    <row r="78" spans="1:127" ht="16.5">
      <c r="A78" s="5" t="s">
        <v>184</v>
      </c>
      <c r="B78" s="5" t="s">
        <v>147</v>
      </c>
      <c r="C78" s="5" t="s">
        <v>148</v>
      </c>
      <c r="D78" s="5" t="s">
        <v>644</v>
      </c>
      <c r="E78" s="5" t="e">
        <f>VLOOKUP(D78,#REF!,1,0)</f>
        <v>#REF!</v>
      </c>
      <c r="F78" s="5" t="s">
        <v>462</v>
      </c>
      <c r="G78" s="5" t="s">
        <v>645</v>
      </c>
      <c r="H78" s="5" t="str">
        <f t="shared" si="45"/>
        <v>Suet Sum Yuen</v>
      </c>
      <c r="I78" s="5" t="e">
        <f>VLOOKUP(D78,#REF!,9,0)</f>
        <v>#REF!</v>
      </c>
      <c r="J78" s="5" t="e">
        <f t="shared" si="46"/>
        <v>#REF!</v>
      </c>
      <c r="K78" s="5" t="s">
        <v>646</v>
      </c>
      <c r="L78" s="5" t="s">
        <v>151</v>
      </c>
      <c r="M78" s="5" t="s">
        <v>647</v>
      </c>
      <c r="N78" s="10" t="e">
        <f>VLOOKUP(D78,#REF!,80,0)</f>
        <v>#REF!</v>
      </c>
      <c r="O78" s="11" t="e">
        <f t="shared" si="47"/>
        <v>#REF!</v>
      </c>
      <c r="P78" s="5" t="s">
        <v>203</v>
      </c>
      <c r="Q78" s="5" t="e">
        <f>VLOOKUP(D78,#REF!,50,0)</f>
        <v>#REF!</v>
      </c>
      <c r="R78" s="5" t="e">
        <f t="shared" si="48"/>
        <v>#REF!</v>
      </c>
      <c r="S78" s="5" t="s">
        <v>247</v>
      </c>
      <c r="T78" s="5" t="e">
        <f>VLOOKUP(D78,#REF!,21,0)</f>
        <v>#REF!</v>
      </c>
      <c r="U78" s="5" t="e">
        <f t="shared" si="49"/>
        <v>#REF!</v>
      </c>
      <c r="V78" s="5" t="s">
        <v>205</v>
      </c>
      <c r="W78" s="5" t="e">
        <f>VLOOKUP(D78,#REF!,51,0)</f>
        <v>#REF!</v>
      </c>
      <c r="X78" s="5" t="e">
        <f t="shared" si="50"/>
        <v>#REF!</v>
      </c>
      <c r="Y78" s="5" t="s">
        <v>192</v>
      </c>
      <c r="Z78" s="5" t="s">
        <v>193</v>
      </c>
      <c r="AA78" s="14">
        <v>2.48</v>
      </c>
      <c r="AB78" s="14">
        <v>42900</v>
      </c>
      <c r="AC78" s="14" t="e">
        <f>ROUND(VLOOKUP(D78,#REF!,59,0),0)</f>
        <v>#REF!</v>
      </c>
      <c r="AD78" s="14" t="e">
        <f t="shared" si="73"/>
        <v>#REF!</v>
      </c>
      <c r="AE78" s="14">
        <v>42900</v>
      </c>
      <c r="AF78" s="14">
        <f t="shared" si="74"/>
        <v>42900</v>
      </c>
      <c r="AG78" s="14">
        <f t="shared" si="75"/>
        <v>0</v>
      </c>
      <c r="AH78" s="14">
        <v>0</v>
      </c>
      <c r="AI78" s="14"/>
      <c r="AJ78" s="14"/>
      <c r="AK78" s="14">
        <v>0</v>
      </c>
      <c r="AL78" s="14"/>
      <c r="AM78" s="14"/>
      <c r="AN78" s="14">
        <v>0</v>
      </c>
      <c r="AO78" s="14">
        <v>0</v>
      </c>
      <c r="AP78" s="14">
        <f>IFERROR(VLOOKUP('Feb for check'!D78,#REF!,15,0),0)</f>
        <v>0</v>
      </c>
      <c r="AQ78" s="14">
        <f t="shared" si="51"/>
        <v>0</v>
      </c>
      <c r="AR78" s="14">
        <v>0</v>
      </c>
      <c r="AS78" s="14">
        <f t="shared" si="52"/>
        <v>0</v>
      </c>
      <c r="AT78" s="14">
        <f t="shared" si="53"/>
        <v>0</v>
      </c>
      <c r="AU78" s="14">
        <v>0</v>
      </c>
      <c r="AV78" s="14"/>
      <c r="AW78" s="14">
        <v>0</v>
      </c>
      <c r="AX78" s="14"/>
      <c r="AY78" s="14">
        <v>0</v>
      </c>
      <c r="AZ78" s="14"/>
      <c r="BA78" s="14">
        <v>82.01</v>
      </c>
      <c r="BB78" s="14">
        <f>IFERROR(VLOOKUP(D78,#REF!,2,0),0)</f>
        <v>0</v>
      </c>
      <c r="BC78" s="14" t="e">
        <f>MAX(VLOOKUP(D78,#REF!,13,0)-VLOOKUP(D78,#REF!,14,0),0)</f>
        <v>#REF!</v>
      </c>
      <c r="BD78" s="14">
        <f>IFERROR(VLOOKUP(D78,#REF!,3,0),0)</f>
        <v>0</v>
      </c>
      <c r="BE78" s="14" t="e">
        <f>MAX(VLOOKUP(D78,#REF!,22,0)-VLOOKUP(D78,#REF!,23,0),0)</f>
        <v>#REF!</v>
      </c>
      <c r="BF78" s="14" t="e">
        <f t="shared" si="54"/>
        <v>#REF!</v>
      </c>
      <c r="BG78" s="14" t="e">
        <f t="shared" si="55"/>
        <v>#REF!</v>
      </c>
      <c r="BH78" s="14">
        <v>0</v>
      </c>
      <c r="BI78" s="14"/>
      <c r="BJ78" s="14"/>
      <c r="BK78" s="14">
        <v>221</v>
      </c>
      <c r="BL78" s="14">
        <f t="shared" si="56"/>
        <v>221</v>
      </c>
      <c r="BM78" s="14">
        <f t="shared" si="57"/>
        <v>0</v>
      </c>
      <c r="BN78" s="14">
        <v>0</v>
      </c>
      <c r="BO78" s="14"/>
      <c r="BP78" s="14"/>
      <c r="BQ78" s="14"/>
      <c r="BR78" s="14">
        <v>0</v>
      </c>
      <c r="BS78" s="14"/>
      <c r="BT78" s="14">
        <v>0</v>
      </c>
      <c r="BU78" s="14"/>
      <c r="BV78" s="14">
        <v>0</v>
      </c>
      <c r="BW78" s="14"/>
      <c r="BX78" s="14">
        <v>43203.01</v>
      </c>
      <c r="BY78" s="14">
        <f t="shared" si="58"/>
        <v>43203.01</v>
      </c>
      <c r="BZ78" s="14">
        <f t="shared" si="59"/>
        <v>0</v>
      </c>
      <c r="CA78" s="14">
        <v>42982.01</v>
      </c>
      <c r="CB78" s="14">
        <f t="shared" si="60"/>
        <v>42982.01</v>
      </c>
      <c r="CC78" s="14">
        <f t="shared" si="61"/>
        <v>0</v>
      </c>
      <c r="CD78" s="14">
        <v>0</v>
      </c>
      <c r="CE78" s="14"/>
      <c r="CF78" s="14"/>
      <c r="CG78" s="14">
        <v>0</v>
      </c>
      <c r="CH78" s="14"/>
      <c r="CI78" s="14">
        <v>1410.4109000000001</v>
      </c>
      <c r="CJ78" s="14">
        <v>0</v>
      </c>
      <c r="CK78" s="14"/>
      <c r="CL78" s="14">
        <v>0</v>
      </c>
      <c r="CM78" s="14">
        <v>7.4999999999999997E-2</v>
      </c>
      <c r="CN78" s="14">
        <v>0</v>
      </c>
      <c r="CO78" s="14">
        <v>0</v>
      </c>
      <c r="CP78" s="14">
        <v>0</v>
      </c>
      <c r="CQ78" s="14"/>
      <c r="CR78" s="14">
        <v>0</v>
      </c>
      <c r="CS78" s="14"/>
      <c r="CT78" s="14">
        <v>1500</v>
      </c>
      <c r="CU78" s="14">
        <f t="shared" si="71"/>
        <v>1500</v>
      </c>
      <c r="CV78" s="14">
        <f t="shared" si="72"/>
        <v>0</v>
      </c>
      <c r="CW78" s="14">
        <v>0</v>
      </c>
      <c r="CX78" s="14">
        <f t="shared" si="62"/>
        <v>0</v>
      </c>
      <c r="CY78" s="14">
        <f t="shared" si="63"/>
        <v>0</v>
      </c>
      <c r="CZ78" s="14">
        <v>1500</v>
      </c>
      <c r="DA78" s="14">
        <f t="shared" si="64"/>
        <v>1500</v>
      </c>
      <c r="DB78" s="14">
        <f t="shared" si="65"/>
        <v>0</v>
      </c>
      <c r="DC78" s="14">
        <v>1723.65</v>
      </c>
      <c r="DD78" s="14">
        <f t="shared" si="66"/>
        <v>1723.65</v>
      </c>
      <c r="DE78" s="14">
        <f t="shared" si="67"/>
        <v>0</v>
      </c>
      <c r="DF78" s="14">
        <v>41703.01</v>
      </c>
      <c r="DG78" s="14">
        <f t="shared" si="68"/>
        <v>41703.01</v>
      </c>
      <c r="DH78" s="14">
        <f t="shared" si="69"/>
        <v>0</v>
      </c>
      <c r="DI78" s="14">
        <v>1076.1400000000001</v>
      </c>
      <c r="DJ78" s="14">
        <f>IFERROR(VLOOKUP(D78,#REF!,2,0),0)</f>
        <v>0</v>
      </c>
      <c r="DK78" s="14">
        <f t="shared" si="70"/>
        <v>-1076.1400000000001</v>
      </c>
      <c r="DL78" s="14">
        <v>43203.01</v>
      </c>
      <c r="DM78" s="14">
        <v>623749.54</v>
      </c>
      <c r="DN78" s="14">
        <v>3575</v>
      </c>
      <c r="DO78" s="14">
        <v>82.01</v>
      </c>
      <c r="DP78" s="14">
        <v>0</v>
      </c>
      <c r="DQ78" s="14">
        <v>42982.01</v>
      </c>
      <c r="DR78" s="14">
        <v>28</v>
      </c>
      <c r="DS78" s="14">
        <v>0</v>
      </c>
      <c r="DT78" s="5" t="s">
        <v>206</v>
      </c>
      <c r="DU78" s="5" t="s">
        <v>195</v>
      </c>
      <c r="DV78" s="5" t="s">
        <v>196</v>
      </c>
      <c r="DW78" s="5" t="s">
        <v>197</v>
      </c>
    </row>
    <row r="79" spans="1:127" ht="16.5">
      <c r="A79" s="5" t="s">
        <v>184</v>
      </c>
      <c r="B79" s="5" t="s">
        <v>147</v>
      </c>
      <c r="C79" s="5" t="s">
        <v>148</v>
      </c>
      <c r="D79" s="5" t="s">
        <v>648</v>
      </c>
      <c r="E79" s="5" t="e">
        <f>VLOOKUP(D79,#REF!,1,0)</f>
        <v>#REF!</v>
      </c>
      <c r="F79" s="5" t="s">
        <v>649</v>
      </c>
      <c r="G79" s="5" t="s">
        <v>650</v>
      </c>
      <c r="H79" s="5" t="str">
        <f t="shared" si="45"/>
        <v>UN SIN HO</v>
      </c>
      <c r="I79" s="5" t="e">
        <f>VLOOKUP(D79,#REF!,9,0)</f>
        <v>#REF!</v>
      </c>
      <c r="J79" s="5" t="e">
        <f t="shared" si="46"/>
        <v>#REF!</v>
      </c>
      <c r="K79" s="5" t="s">
        <v>651</v>
      </c>
      <c r="L79" s="5" t="s">
        <v>151</v>
      </c>
      <c r="M79" s="5" t="s">
        <v>652</v>
      </c>
      <c r="N79" s="10" t="e">
        <f>VLOOKUP(D79,#REF!,80,0)</f>
        <v>#REF!</v>
      </c>
      <c r="O79" s="11" t="e">
        <f t="shared" si="47"/>
        <v>#REF!</v>
      </c>
      <c r="P79" s="5" t="s">
        <v>189</v>
      </c>
      <c r="Q79" s="5" t="e">
        <f>VLOOKUP(D79,#REF!,50,0)</f>
        <v>#REF!</v>
      </c>
      <c r="R79" s="5" t="e">
        <f t="shared" si="48"/>
        <v>#REF!</v>
      </c>
      <c r="S79" s="5" t="s">
        <v>653</v>
      </c>
      <c r="T79" s="5" t="e">
        <f>VLOOKUP(D79,#REF!,21,0)</f>
        <v>#REF!</v>
      </c>
      <c r="U79" s="5" t="e">
        <f t="shared" si="49"/>
        <v>#REF!</v>
      </c>
      <c r="V79" s="5" t="s">
        <v>191</v>
      </c>
      <c r="W79" s="5" t="e">
        <f>VLOOKUP(D79,#REF!,51,0)</f>
        <v>#REF!</v>
      </c>
      <c r="X79" s="5" t="e">
        <f t="shared" si="50"/>
        <v>#REF!</v>
      </c>
      <c r="Y79" s="5" t="s">
        <v>192</v>
      </c>
      <c r="Z79" s="5" t="s">
        <v>193</v>
      </c>
      <c r="AA79" s="14">
        <v>2.88</v>
      </c>
      <c r="AB79" s="14">
        <v>76544</v>
      </c>
      <c r="AC79" s="14" t="e">
        <f>ROUND(VLOOKUP(D79,#REF!,59,0),0)</f>
        <v>#REF!</v>
      </c>
      <c r="AD79" s="14" t="e">
        <f t="shared" si="73"/>
        <v>#REF!</v>
      </c>
      <c r="AE79" s="14">
        <v>76544</v>
      </c>
      <c r="AF79" s="14">
        <f t="shared" si="74"/>
        <v>76544</v>
      </c>
      <c r="AG79" s="14">
        <f t="shared" si="75"/>
        <v>0</v>
      </c>
      <c r="AH79" s="14">
        <v>0</v>
      </c>
      <c r="AI79" s="14"/>
      <c r="AJ79" s="14"/>
      <c r="AK79" s="14">
        <v>0</v>
      </c>
      <c r="AL79" s="14"/>
      <c r="AM79" s="14"/>
      <c r="AN79" s="14">
        <v>0</v>
      </c>
      <c r="AO79" s="14">
        <v>2500</v>
      </c>
      <c r="AP79" s="14">
        <f>IFERROR(VLOOKUP('Feb for check'!D79,#REF!,15,0),0)</f>
        <v>0</v>
      </c>
      <c r="AQ79" s="14">
        <f t="shared" si="51"/>
        <v>-2500</v>
      </c>
      <c r="AR79" s="14">
        <v>2500</v>
      </c>
      <c r="AS79" s="14">
        <f t="shared" si="52"/>
        <v>2500</v>
      </c>
      <c r="AT79" s="14">
        <f t="shared" si="53"/>
        <v>0</v>
      </c>
      <c r="AU79" s="14">
        <v>0</v>
      </c>
      <c r="AV79" s="14"/>
      <c r="AW79" s="14">
        <v>0</v>
      </c>
      <c r="AX79" s="14"/>
      <c r="AY79" s="14">
        <v>0</v>
      </c>
      <c r="AZ79" s="14"/>
      <c r="BA79" s="14">
        <v>0</v>
      </c>
      <c r="BB79" s="14">
        <f>IFERROR(VLOOKUP(D79,#REF!,2,0),0)</f>
        <v>0</v>
      </c>
      <c r="BC79" s="14" t="e">
        <f>MAX(VLOOKUP(D79,#REF!,13,0)-VLOOKUP(D79,#REF!,14,0),0)</f>
        <v>#REF!</v>
      </c>
      <c r="BD79" s="14">
        <f>IFERROR(VLOOKUP(D79,#REF!,3,0),0)</f>
        <v>0</v>
      </c>
      <c r="BE79" s="14" t="e">
        <f>MAX(VLOOKUP(D79,#REF!,22,0)-VLOOKUP(D79,#REF!,23,0),0)</f>
        <v>#REF!</v>
      </c>
      <c r="BF79" s="14" t="e">
        <f t="shared" si="54"/>
        <v>#REF!</v>
      </c>
      <c r="BG79" s="14" t="e">
        <f t="shared" si="55"/>
        <v>#REF!</v>
      </c>
      <c r="BH79" s="14">
        <v>0</v>
      </c>
      <c r="BI79" s="14"/>
      <c r="BJ79" s="14"/>
      <c r="BK79" s="14">
        <v>0</v>
      </c>
      <c r="BL79" s="14">
        <f t="shared" si="56"/>
        <v>0</v>
      </c>
      <c r="BM79" s="14">
        <f t="shared" si="57"/>
        <v>0</v>
      </c>
      <c r="BN79" s="14">
        <v>0</v>
      </c>
      <c r="BO79" s="14"/>
      <c r="BP79" s="14"/>
      <c r="BQ79" s="14"/>
      <c r="BR79" s="14">
        <v>0</v>
      </c>
      <c r="BS79" s="14"/>
      <c r="BT79" s="14">
        <v>0</v>
      </c>
      <c r="BU79" s="14"/>
      <c r="BV79" s="14">
        <v>0</v>
      </c>
      <c r="BW79" s="14"/>
      <c r="BX79" s="14">
        <v>79044</v>
      </c>
      <c r="BY79" s="14">
        <f t="shared" si="58"/>
        <v>79044</v>
      </c>
      <c r="BZ79" s="14">
        <f t="shared" si="59"/>
        <v>0</v>
      </c>
      <c r="CA79" s="14">
        <v>76544</v>
      </c>
      <c r="CB79" s="14">
        <f t="shared" si="60"/>
        <v>76544</v>
      </c>
      <c r="CC79" s="14">
        <f t="shared" si="61"/>
        <v>0</v>
      </c>
      <c r="CD79" s="14">
        <v>0</v>
      </c>
      <c r="CE79" s="14"/>
      <c r="CF79" s="14"/>
      <c r="CG79" s="14">
        <v>0</v>
      </c>
      <c r="CH79" s="14"/>
      <c r="CI79" s="14">
        <v>2598.7067999999999</v>
      </c>
      <c r="CJ79" s="14">
        <v>0.05</v>
      </c>
      <c r="CK79" s="14"/>
      <c r="CL79" s="14">
        <v>0</v>
      </c>
      <c r="CM79" s="14">
        <v>0.1</v>
      </c>
      <c r="CN79" s="14">
        <v>0</v>
      </c>
      <c r="CO79" s="14">
        <v>0</v>
      </c>
      <c r="CP79" s="14">
        <v>0</v>
      </c>
      <c r="CQ79" s="14"/>
      <c r="CR79" s="14">
        <v>0</v>
      </c>
      <c r="CS79" s="14"/>
      <c r="CT79" s="14">
        <v>1500</v>
      </c>
      <c r="CU79" s="14">
        <f t="shared" si="71"/>
        <v>1500</v>
      </c>
      <c r="CV79" s="14">
        <f t="shared" si="72"/>
        <v>0</v>
      </c>
      <c r="CW79" s="14">
        <v>3827.2</v>
      </c>
      <c r="CX79" s="14">
        <f t="shared" si="62"/>
        <v>3827.2</v>
      </c>
      <c r="CY79" s="14">
        <f t="shared" si="63"/>
        <v>0</v>
      </c>
      <c r="CZ79" s="14">
        <v>1500</v>
      </c>
      <c r="DA79" s="14">
        <f t="shared" si="64"/>
        <v>1500</v>
      </c>
      <c r="DB79" s="14">
        <f t="shared" si="65"/>
        <v>0</v>
      </c>
      <c r="DC79" s="14">
        <v>6154.4</v>
      </c>
      <c r="DD79" s="14">
        <f t="shared" si="66"/>
        <v>6154.4</v>
      </c>
      <c r="DE79" s="14">
        <f t="shared" si="67"/>
        <v>0</v>
      </c>
      <c r="DF79" s="14">
        <v>73716.800000000003</v>
      </c>
      <c r="DG79" s="14">
        <f t="shared" si="68"/>
        <v>73716.800000000003</v>
      </c>
      <c r="DH79" s="14">
        <f t="shared" si="69"/>
        <v>0</v>
      </c>
      <c r="DI79" s="14">
        <v>0</v>
      </c>
      <c r="DJ79" s="14">
        <f>IFERROR(VLOOKUP(D79,#REF!,2,0),0)</f>
        <v>0</v>
      </c>
      <c r="DK79" s="14">
        <f t="shared" si="70"/>
        <v>0</v>
      </c>
      <c r="DL79" s="14">
        <v>76544</v>
      </c>
      <c r="DM79" s="14">
        <v>1219795.75</v>
      </c>
      <c r="DN79" s="14">
        <v>6378.67</v>
      </c>
      <c r="DO79" s="14">
        <v>0</v>
      </c>
      <c r="DP79" s="14">
        <v>0</v>
      </c>
      <c r="DQ79" s="14">
        <v>79044</v>
      </c>
      <c r="DR79" s="14">
        <v>28</v>
      </c>
      <c r="DS79" s="14">
        <v>0</v>
      </c>
      <c r="DT79" s="5" t="s">
        <v>206</v>
      </c>
      <c r="DU79" s="5" t="s">
        <v>195</v>
      </c>
      <c r="DV79" s="5" t="s">
        <v>196</v>
      </c>
      <c r="DW79" s="5" t="s">
        <v>197</v>
      </c>
    </row>
    <row r="80" spans="1:127" ht="16.5">
      <c r="A80" s="5" t="s">
        <v>184</v>
      </c>
      <c r="B80" s="5" t="s">
        <v>147</v>
      </c>
      <c r="C80" s="5" t="s">
        <v>148</v>
      </c>
      <c r="D80" s="5" t="s">
        <v>654</v>
      </c>
      <c r="E80" s="5" t="e">
        <f>VLOOKUP(D80,#REF!,1,0)</f>
        <v>#REF!</v>
      </c>
      <c r="F80" s="5" t="s">
        <v>611</v>
      </c>
      <c r="G80" s="5" t="s">
        <v>406</v>
      </c>
      <c r="H80" s="5" t="str">
        <f t="shared" si="45"/>
        <v>Lok Yee Fung</v>
      </c>
      <c r="I80" s="5" t="e">
        <f>VLOOKUP(D80,#REF!,9,0)</f>
        <v>#REF!</v>
      </c>
      <c r="J80" s="5" t="e">
        <f t="shared" si="46"/>
        <v>#REF!</v>
      </c>
      <c r="K80" s="5" t="s">
        <v>655</v>
      </c>
      <c r="L80" s="5" t="s">
        <v>151</v>
      </c>
      <c r="M80" s="5" t="s">
        <v>656</v>
      </c>
      <c r="N80" s="10" t="e">
        <f>VLOOKUP(D80,#REF!,80,0)</f>
        <v>#REF!</v>
      </c>
      <c r="O80" s="11" t="e">
        <f t="shared" si="47"/>
        <v>#REF!</v>
      </c>
      <c r="P80" s="5" t="s">
        <v>218</v>
      </c>
      <c r="Q80" s="5" t="e">
        <f>VLOOKUP(D80,#REF!,50,0)</f>
        <v>#REF!</v>
      </c>
      <c r="R80" s="5" t="e">
        <f t="shared" si="48"/>
        <v>#REF!</v>
      </c>
      <c r="S80" s="5" t="s">
        <v>657</v>
      </c>
      <c r="T80" s="5" t="e">
        <f>VLOOKUP(D80,#REF!,21,0)</f>
        <v>#REF!</v>
      </c>
      <c r="U80" s="5" t="e">
        <f t="shared" si="49"/>
        <v>#REF!</v>
      </c>
      <c r="V80" s="5" t="s">
        <v>220</v>
      </c>
      <c r="W80" s="5" t="e">
        <f>VLOOKUP(D80,#REF!,51,0)</f>
        <v>#REF!</v>
      </c>
      <c r="X80" s="5" t="e">
        <f t="shared" si="50"/>
        <v>#REF!</v>
      </c>
      <c r="Y80" s="5" t="s">
        <v>192</v>
      </c>
      <c r="Z80" s="5" t="s">
        <v>193</v>
      </c>
      <c r="AA80" s="14">
        <v>4.55</v>
      </c>
      <c r="AB80" s="14">
        <v>34800</v>
      </c>
      <c r="AC80" s="14" t="e">
        <f>ROUND(VLOOKUP(D80,#REF!,59,0),0)</f>
        <v>#REF!</v>
      </c>
      <c r="AD80" s="14" t="e">
        <f t="shared" si="73"/>
        <v>#REF!</v>
      </c>
      <c r="AE80" s="14">
        <v>34800</v>
      </c>
      <c r="AF80" s="14">
        <f t="shared" si="74"/>
        <v>34800</v>
      </c>
      <c r="AG80" s="14">
        <f t="shared" si="75"/>
        <v>0</v>
      </c>
      <c r="AH80" s="14">
        <v>0</v>
      </c>
      <c r="AI80" s="14"/>
      <c r="AJ80" s="14"/>
      <c r="AK80" s="14">
        <v>0</v>
      </c>
      <c r="AL80" s="14"/>
      <c r="AM80" s="14"/>
      <c r="AN80" s="14">
        <v>0</v>
      </c>
      <c r="AO80" s="14">
        <v>0</v>
      </c>
      <c r="AP80" s="14">
        <f>IFERROR(VLOOKUP('Feb for check'!D80,#REF!,15,0),0)</f>
        <v>0</v>
      </c>
      <c r="AQ80" s="14">
        <f t="shared" si="51"/>
        <v>0</v>
      </c>
      <c r="AR80" s="14">
        <v>0</v>
      </c>
      <c r="AS80" s="14">
        <f t="shared" si="52"/>
        <v>0</v>
      </c>
      <c r="AT80" s="14">
        <f t="shared" si="53"/>
        <v>0</v>
      </c>
      <c r="AU80" s="14">
        <v>0</v>
      </c>
      <c r="AV80" s="14"/>
      <c r="AW80" s="14">
        <v>0</v>
      </c>
      <c r="AX80" s="14"/>
      <c r="AY80" s="14">
        <v>0</v>
      </c>
      <c r="AZ80" s="14"/>
      <c r="BA80" s="14">
        <v>0</v>
      </c>
      <c r="BB80" s="14">
        <f>IFERROR(VLOOKUP(D80,#REF!,2,0),0)</f>
        <v>0</v>
      </c>
      <c r="BC80" s="14" t="e">
        <f>MAX(VLOOKUP(D80,#REF!,13,0)-VLOOKUP(D80,#REF!,14,0),0)</f>
        <v>#REF!</v>
      </c>
      <c r="BD80" s="14">
        <f>IFERROR(VLOOKUP(D80,#REF!,3,0),0)</f>
        <v>0</v>
      </c>
      <c r="BE80" s="14" t="e">
        <f>MAX(VLOOKUP(D80,#REF!,22,0)-VLOOKUP(D80,#REF!,23,0),0)</f>
        <v>#REF!</v>
      </c>
      <c r="BF80" s="14" t="e">
        <f t="shared" si="54"/>
        <v>#REF!</v>
      </c>
      <c r="BG80" s="14" t="e">
        <f t="shared" si="55"/>
        <v>#REF!</v>
      </c>
      <c r="BH80" s="14">
        <v>0</v>
      </c>
      <c r="BI80" s="14"/>
      <c r="BJ80" s="14"/>
      <c r="BK80" s="14">
        <v>0</v>
      </c>
      <c r="BL80" s="14">
        <f t="shared" si="56"/>
        <v>0</v>
      </c>
      <c r="BM80" s="14">
        <f t="shared" si="57"/>
        <v>0</v>
      </c>
      <c r="BN80" s="14">
        <v>0</v>
      </c>
      <c r="BO80" s="14"/>
      <c r="BP80" s="14"/>
      <c r="BQ80" s="14"/>
      <c r="BR80" s="14">
        <v>0</v>
      </c>
      <c r="BS80" s="14"/>
      <c r="BT80" s="14">
        <v>0</v>
      </c>
      <c r="BU80" s="14"/>
      <c r="BV80" s="14">
        <v>0</v>
      </c>
      <c r="BW80" s="14"/>
      <c r="BX80" s="14">
        <v>34800</v>
      </c>
      <c r="BY80" s="14">
        <f t="shared" si="58"/>
        <v>34800</v>
      </c>
      <c r="BZ80" s="14">
        <f t="shared" si="59"/>
        <v>0</v>
      </c>
      <c r="CA80" s="14">
        <v>34800</v>
      </c>
      <c r="CB80" s="14">
        <f t="shared" si="60"/>
        <v>34800</v>
      </c>
      <c r="CC80" s="14">
        <f t="shared" si="61"/>
        <v>0</v>
      </c>
      <c r="CD80" s="14">
        <v>0</v>
      </c>
      <c r="CE80" s="14"/>
      <c r="CF80" s="14"/>
      <c r="CG80" s="14">
        <v>0</v>
      </c>
      <c r="CH80" s="14"/>
      <c r="CI80" s="14">
        <v>1144.1095</v>
      </c>
      <c r="CJ80" s="14">
        <v>0</v>
      </c>
      <c r="CK80" s="14"/>
      <c r="CL80" s="14">
        <v>0</v>
      </c>
      <c r="CM80" s="14">
        <v>7.4999999999999997E-2</v>
      </c>
      <c r="CN80" s="14">
        <v>0</v>
      </c>
      <c r="CO80" s="14">
        <v>0</v>
      </c>
      <c r="CP80" s="14">
        <v>0</v>
      </c>
      <c r="CQ80" s="14"/>
      <c r="CR80" s="14">
        <v>0</v>
      </c>
      <c r="CS80" s="14"/>
      <c r="CT80" s="14">
        <v>1500</v>
      </c>
      <c r="CU80" s="14">
        <f t="shared" si="71"/>
        <v>1500</v>
      </c>
      <c r="CV80" s="14">
        <f t="shared" si="72"/>
        <v>0</v>
      </c>
      <c r="CW80" s="14">
        <v>0</v>
      </c>
      <c r="CX80" s="14">
        <f t="shared" si="62"/>
        <v>0</v>
      </c>
      <c r="CY80" s="14">
        <f t="shared" si="63"/>
        <v>0</v>
      </c>
      <c r="CZ80" s="14">
        <v>1500</v>
      </c>
      <c r="DA80" s="14">
        <f t="shared" si="64"/>
        <v>1500</v>
      </c>
      <c r="DB80" s="14">
        <f t="shared" si="65"/>
        <v>0</v>
      </c>
      <c r="DC80" s="14">
        <v>1110</v>
      </c>
      <c r="DD80" s="14">
        <f t="shared" si="66"/>
        <v>1110</v>
      </c>
      <c r="DE80" s="14">
        <f t="shared" si="67"/>
        <v>0</v>
      </c>
      <c r="DF80" s="14">
        <v>33300</v>
      </c>
      <c r="DG80" s="14">
        <f t="shared" si="68"/>
        <v>33300</v>
      </c>
      <c r="DH80" s="14">
        <f t="shared" si="69"/>
        <v>0</v>
      </c>
      <c r="DI80" s="14">
        <v>0</v>
      </c>
      <c r="DJ80" s="14">
        <f>IFERROR(VLOOKUP(D80,#REF!,2,0),0)</f>
        <v>0</v>
      </c>
      <c r="DK80" s="14">
        <f t="shared" si="70"/>
        <v>0</v>
      </c>
      <c r="DL80" s="14">
        <v>34800</v>
      </c>
      <c r="DM80" s="14">
        <v>467835.09</v>
      </c>
      <c r="DN80" s="14">
        <v>2900</v>
      </c>
      <c r="DO80" s="14">
        <v>0</v>
      </c>
      <c r="DP80" s="14">
        <v>0</v>
      </c>
      <c r="DQ80" s="14">
        <v>34800</v>
      </c>
      <c r="DR80" s="14">
        <v>28</v>
      </c>
      <c r="DS80" s="14">
        <v>0</v>
      </c>
      <c r="DT80" s="5" t="s">
        <v>206</v>
      </c>
      <c r="DU80" s="5" t="s">
        <v>195</v>
      </c>
      <c r="DV80" s="5" t="s">
        <v>196</v>
      </c>
      <c r="DW80" s="5" t="s">
        <v>197</v>
      </c>
    </row>
    <row r="81" spans="1:127" ht="16.5">
      <c r="A81" s="5" t="s">
        <v>184</v>
      </c>
      <c r="B81" s="5" t="s">
        <v>147</v>
      </c>
      <c r="C81" s="5" t="s">
        <v>148</v>
      </c>
      <c r="D81" s="5" t="s">
        <v>658</v>
      </c>
      <c r="E81" s="5" t="e">
        <f>VLOOKUP(D81,#REF!,1,0)</f>
        <v>#REF!</v>
      </c>
      <c r="F81" s="5" t="s">
        <v>659</v>
      </c>
      <c r="G81" s="5" t="s">
        <v>483</v>
      </c>
      <c r="H81" s="5" t="str">
        <f t="shared" si="45"/>
        <v>Hiu Yan Fan</v>
      </c>
      <c r="I81" s="5" t="e">
        <f>VLOOKUP(D81,#REF!,9,0)</f>
        <v>#REF!</v>
      </c>
      <c r="J81" s="5" t="e">
        <f t="shared" si="46"/>
        <v>#REF!</v>
      </c>
      <c r="K81" s="5" t="s">
        <v>660</v>
      </c>
      <c r="L81" s="5" t="s">
        <v>151</v>
      </c>
      <c r="M81" s="5" t="s">
        <v>591</v>
      </c>
      <c r="N81" s="10" t="e">
        <f>VLOOKUP(D81,#REF!,80,0)</f>
        <v>#REF!</v>
      </c>
      <c r="O81" s="11" t="e">
        <f t="shared" si="47"/>
        <v>#REF!</v>
      </c>
      <c r="P81" s="5" t="s">
        <v>203</v>
      </c>
      <c r="Q81" s="5" t="e">
        <f>VLOOKUP(D81,#REF!,50,0)</f>
        <v>#REF!</v>
      </c>
      <c r="R81" s="5" t="e">
        <f t="shared" si="48"/>
        <v>#REF!</v>
      </c>
      <c r="S81" s="5" t="s">
        <v>661</v>
      </c>
      <c r="T81" s="5" t="e">
        <f>VLOOKUP(D81,#REF!,21,0)</f>
        <v>#REF!</v>
      </c>
      <c r="U81" s="5" t="e">
        <f t="shared" si="49"/>
        <v>#REF!</v>
      </c>
      <c r="V81" s="5" t="s">
        <v>205</v>
      </c>
      <c r="W81" s="5" t="e">
        <f>VLOOKUP(D81,#REF!,51,0)</f>
        <v>#REF!</v>
      </c>
      <c r="X81" s="5" t="e">
        <f t="shared" si="50"/>
        <v>#REF!</v>
      </c>
      <c r="Y81" s="5" t="s">
        <v>192</v>
      </c>
      <c r="Z81" s="5" t="s">
        <v>193</v>
      </c>
      <c r="AA81" s="14">
        <v>2.98</v>
      </c>
      <c r="AB81" s="14">
        <v>73521</v>
      </c>
      <c r="AC81" s="14" t="e">
        <f>ROUND(VLOOKUP(D81,#REF!,59,0),0)</f>
        <v>#REF!</v>
      </c>
      <c r="AD81" s="14" t="e">
        <f t="shared" si="73"/>
        <v>#REF!</v>
      </c>
      <c r="AE81" s="14">
        <v>73521</v>
      </c>
      <c r="AF81" s="14">
        <f t="shared" si="74"/>
        <v>73521</v>
      </c>
      <c r="AG81" s="14">
        <f t="shared" si="75"/>
        <v>0</v>
      </c>
      <c r="AH81" s="14">
        <v>0</v>
      </c>
      <c r="AI81" s="14"/>
      <c r="AJ81" s="14"/>
      <c r="AK81" s="14">
        <v>0</v>
      </c>
      <c r="AL81" s="14"/>
      <c r="AM81" s="14"/>
      <c r="AN81" s="14">
        <v>0</v>
      </c>
      <c r="AO81" s="14">
        <v>0</v>
      </c>
      <c r="AP81" s="14">
        <f>IFERROR(VLOOKUP('Feb for check'!D81,#REF!,15,0),0)</f>
        <v>0</v>
      </c>
      <c r="AQ81" s="14">
        <f t="shared" si="51"/>
        <v>0</v>
      </c>
      <c r="AR81" s="14">
        <v>0</v>
      </c>
      <c r="AS81" s="14">
        <f t="shared" si="52"/>
        <v>0</v>
      </c>
      <c r="AT81" s="14">
        <f t="shared" si="53"/>
        <v>0</v>
      </c>
      <c r="AU81" s="14">
        <v>0</v>
      </c>
      <c r="AV81" s="14"/>
      <c r="AW81" s="14">
        <v>0</v>
      </c>
      <c r="AX81" s="14"/>
      <c r="AY81" s="14">
        <v>0</v>
      </c>
      <c r="AZ81" s="14"/>
      <c r="BA81" s="14">
        <v>0</v>
      </c>
      <c r="BB81" s="14">
        <f>IFERROR(VLOOKUP(D81,#REF!,2,0),0)</f>
        <v>0</v>
      </c>
      <c r="BC81" s="14" t="e">
        <f>MAX(VLOOKUP(D81,#REF!,13,0)-VLOOKUP(D81,#REF!,14,0),0)</f>
        <v>#REF!</v>
      </c>
      <c r="BD81" s="14">
        <f>IFERROR(VLOOKUP(D81,#REF!,3,0),0)</f>
        <v>0</v>
      </c>
      <c r="BE81" s="14" t="e">
        <f>MAX(VLOOKUP(D81,#REF!,22,0)-VLOOKUP(D81,#REF!,23,0),0)</f>
        <v>#REF!</v>
      </c>
      <c r="BF81" s="14" t="e">
        <f t="shared" si="54"/>
        <v>#REF!</v>
      </c>
      <c r="BG81" s="14" t="e">
        <f t="shared" si="55"/>
        <v>#REF!</v>
      </c>
      <c r="BH81" s="14">
        <v>0</v>
      </c>
      <c r="BI81" s="14"/>
      <c r="BJ81" s="14"/>
      <c r="BK81" s="14">
        <v>0</v>
      </c>
      <c r="BL81" s="14">
        <f t="shared" si="56"/>
        <v>0</v>
      </c>
      <c r="BM81" s="14">
        <f t="shared" si="57"/>
        <v>0</v>
      </c>
      <c r="BN81" s="14">
        <v>0</v>
      </c>
      <c r="BO81" s="14"/>
      <c r="BP81" s="14"/>
      <c r="BQ81" s="14"/>
      <c r="BR81" s="14">
        <v>0</v>
      </c>
      <c r="BS81" s="14"/>
      <c r="BT81" s="14">
        <v>0</v>
      </c>
      <c r="BU81" s="14"/>
      <c r="BV81" s="14">
        <v>0</v>
      </c>
      <c r="BW81" s="14"/>
      <c r="BX81" s="14">
        <v>73521</v>
      </c>
      <c r="BY81" s="14">
        <f t="shared" si="58"/>
        <v>73521</v>
      </c>
      <c r="BZ81" s="14">
        <f t="shared" si="59"/>
        <v>0</v>
      </c>
      <c r="CA81" s="14">
        <v>73521</v>
      </c>
      <c r="CB81" s="14">
        <f t="shared" si="60"/>
        <v>73521</v>
      </c>
      <c r="CC81" s="14">
        <f t="shared" si="61"/>
        <v>0</v>
      </c>
      <c r="CD81" s="14">
        <v>0</v>
      </c>
      <c r="CE81" s="14"/>
      <c r="CF81" s="14"/>
      <c r="CG81" s="14">
        <v>0</v>
      </c>
      <c r="CH81" s="14"/>
      <c r="CI81" s="14">
        <v>2417.1287000000002</v>
      </c>
      <c r="CJ81" s="14">
        <v>0</v>
      </c>
      <c r="CK81" s="14"/>
      <c r="CL81" s="14">
        <v>0</v>
      </c>
      <c r="CM81" s="14">
        <v>7.4999999999999997E-2</v>
      </c>
      <c r="CN81" s="14">
        <v>0</v>
      </c>
      <c r="CO81" s="14">
        <v>0</v>
      </c>
      <c r="CP81" s="14">
        <v>0</v>
      </c>
      <c r="CQ81" s="14"/>
      <c r="CR81" s="14">
        <v>0</v>
      </c>
      <c r="CS81" s="14"/>
      <c r="CT81" s="14">
        <v>1500</v>
      </c>
      <c r="CU81" s="14">
        <f t="shared" si="71"/>
        <v>1500</v>
      </c>
      <c r="CV81" s="14">
        <f t="shared" si="72"/>
        <v>0</v>
      </c>
      <c r="CW81" s="14">
        <v>0</v>
      </c>
      <c r="CX81" s="14">
        <f t="shared" si="62"/>
        <v>0</v>
      </c>
      <c r="CY81" s="14">
        <f t="shared" si="63"/>
        <v>0</v>
      </c>
      <c r="CZ81" s="14">
        <v>1500</v>
      </c>
      <c r="DA81" s="14">
        <f t="shared" si="64"/>
        <v>1500</v>
      </c>
      <c r="DB81" s="14">
        <f t="shared" si="65"/>
        <v>0</v>
      </c>
      <c r="DC81" s="14">
        <v>4014.08</v>
      </c>
      <c r="DD81" s="14">
        <f t="shared" si="66"/>
        <v>4014.08</v>
      </c>
      <c r="DE81" s="14">
        <f t="shared" si="67"/>
        <v>0</v>
      </c>
      <c r="DF81" s="14">
        <v>72021</v>
      </c>
      <c r="DG81" s="14">
        <f t="shared" si="68"/>
        <v>72021</v>
      </c>
      <c r="DH81" s="14">
        <f t="shared" si="69"/>
        <v>0</v>
      </c>
      <c r="DI81" s="14">
        <v>0</v>
      </c>
      <c r="DJ81" s="14">
        <f>IFERROR(VLOOKUP(D81,#REF!,2,0),0)</f>
        <v>0</v>
      </c>
      <c r="DK81" s="14">
        <f t="shared" si="70"/>
        <v>0</v>
      </c>
      <c r="DL81" s="14">
        <v>73521</v>
      </c>
      <c r="DM81" s="14">
        <v>1251329.51</v>
      </c>
      <c r="DN81" s="14">
        <v>6126.75</v>
      </c>
      <c r="DO81" s="14">
        <v>0</v>
      </c>
      <c r="DP81" s="14">
        <v>0</v>
      </c>
      <c r="DQ81" s="14">
        <v>73521</v>
      </c>
      <c r="DR81" s="14">
        <v>28</v>
      </c>
      <c r="DS81" s="14">
        <v>0</v>
      </c>
      <c r="DT81" s="5" t="s">
        <v>206</v>
      </c>
      <c r="DU81" s="5" t="s">
        <v>195</v>
      </c>
      <c r="DV81" s="5" t="s">
        <v>196</v>
      </c>
      <c r="DW81" s="5" t="s">
        <v>197</v>
      </c>
    </row>
    <row r="82" spans="1:127" ht="16.5">
      <c r="A82" s="5" t="s">
        <v>184</v>
      </c>
      <c r="B82" s="5" t="s">
        <v>147</v>
      </c>
      <c r="C82" s="5" t="s">
        <v>148</v>
      </c>
      <c r="D82" s="5" t="s">
        <v>662</v>
      </c>
      <c r="E82" s="5" t="e">
        <f>VLOOKUP(D82,#REF!,1,0)</f>
        <v>#REF!</v>
      </c>
      <c r="F82" s="5" t="s">
        <v>369</v>
      </c>
      <c r="G82" s="5" t="s">
        <v>663</v>
      </c>
      <c r="H82" s="5" t="str">
        <f t="shared" si="45"/>
        <v>Chi Ian Chan</v>
      </c>
      <c r="I82" s="5" t="e">
        <f>VLOOKUP(D82,#REF!,9,0)</f>
        <v>#REF!</v>
      </c>
      <c r="J82" s="5" t="e">
        <f t="shared" si="46"/>
        <v>#REF!</v>
      </c>
      <c r="K82" s="5" t="s">
        <v>664</v>
      </c>
      <c r="L82" s="5" t="s">
        <v>151</v>
      </c>
      <c r="M82" s="5" t="s">
        <v>665</v>
      </c>
      <c r="N82" s="10" t="e">
        <f>VLOOKUP(D82,#REF!,80,0)</f>
        <v>#REF!</v>
      </c>
      <c r="O82" s="11" t="e">
        <f t="shared" si="47"/>
        <v>#REF!</v>
      </c>
      <c r="P82" s="5" t="s">
        <v>189</v>
      </c>
      <c r="Q82" s="5" t="e">
        <f>VLOOKUP(D82,#REF!,50,0)</f>
        <v>#REF!</v>
      </c>
      <c r="R82" s="5" t="e">
        <f t="shared" si="48"/>
        <v>#REF!</v>
      </c>
      <c r="S82" s="5" t="s">
        <v>496</v>
      </c>
      <c r="T82" s="5" t="e">
        <f>VLOOKUP(D82,#REF!,21,0)</f>
        <v>#REF!</v>
      </c>
      <c r="U82" s="5" t="e">
        <f t="shared" si="49"/>
        <v>#REF!</v>
      </c>
      <c r="V82" s="5" t="s">
        <v>191</v>
      </c>
      <c r="W82" s="5" t="e">
        <f>VLOOKUP(D82,#REF!,51,0)</f>
        <v>#REF!</v>
      </c>
      <c r="X82" s="5" t="e">
        <f t="shared" si="50"/>
        <v>#REF!</v>
      </c>
      <c r="Y82" s="5" t="s">
        <v>192</v>
      </c>
      <c r="Z82" s="5" t="s">
        <v>193</v>
      </c>
      <c r="AA82" s="14">
        <v>1.1000000000000001</v>
      </c>
      <c r="AB82" s="14">
        <v>27000</v>
      </c>
      <c r="AC82" s="14" t="e">
        <f>ROUND(VLOOKUP(D82,#REF!,59,0),0)</f>
        <v>#REF!</v>
      </c>
      <c r="AD82" s="14" t="e">
        <f t="shared" si="73"/>
        <v>#REF!</v>
      </c>
      <c r="AE82" s="14">
        <v>27000</v>
      </c>
      <c r="AF82" s="14">
        <f t="shared" si="74"/>
        <v>27000</v>
      </c>
      <c r="AG82" s="14">
        <f t="shared" si="75"/>
        <v>0</v>
      </c>
      <c r="AH82" s="14">
        <v>0</v>
      </c>
      <c r="AI82" s="14"/>
      <c r="AJ82" s="14"/>
      <c r="AK82" s="14">
        <v>0</v>
      </c>
      <c r="AL82" s="14"/>
      <c r="AM82" s="14"/>
      <c r="AN82" s="14">
        <v>0</v>
      </c>
      <c r="AO82" s="14">
        <v>2500</v>
      </c>
      <c r="AP82" s="14">
        <f>IFERROR(VLOOKUP('Feb for check'!D82,#REF!,15,0),0)</f>
        <v>0</v>
      </c>
      <c r="AQ82" s="14">
        <f t="shared" si="51"/>
        <v>-2500</v>
      </c>
      <c r="AR82" s="14">
        <v>2500</v>
      </c>
      <c r="AS82" s="14">
        <f t="shared" si="52"/>
        <v>2500</v>
      </c>
      <c r="AT82" s="14">
        <f t="shared" si="53"/>
        <v>0</v>
      </c>
      <c r="AU82" s="14">
        <v>0</v>
      </c>
      <c r="AV82" s="14"/>
      <c r="AW82" s="14">
        <v>0</v>
      </c>
      <c r="AX82" s="14"/>
      <c r="AY82" s="14">
        <v>0</v>
      </c>
      <c r="AZ82" s="14"/>
      <c r="BA82" s="14">
        <v>976.99</v>
      </c>
      <c r="BB82" s="14">
        <f>IFERROR(VLOOKUP(D82,#REF!,2,0),0)</f>
        <v>0</v>
      </c>
      <c r="BC82" s="14" t="e">
        <f>MAX(VLOOKUP(D82,#REF!,13,0)-VLOOKUP(D82,#REF!,14,0),0)</f>
        <v>#REF!</v>
      </c>
      <c r="BD82" s="14">
        <f>IFERROR(VLOOKUP(D82,#REF!,3,0),0)</f>
        <v>0</v>
      </c>
      <c r="BE82" s="14" t="e">
        <f>MAX(VLOOKUP(D82,#REF!,22,0)-VLOOKUP(D82,#REF!,23,0),0)</f>
        <v>#REF!</v>
      </c>
      <c r="BF82" s="14" t="e">
        <f t="shared" si="54"/>
        <v>#REF!</v>
      </c>
      <c r="BG82" s="14" t="e">
        <f t="shared" si="55"/>
        <v>#REF!</v>
      </c>
      <c r="BH82" s="14">
        <v>0</v>
      </c>
      <c r="BI82" s="14"/>
      <c r="BJ82" s="14"/>
      <c r="BK82" s="14">
        <v>0</v>
      </c>
      <c r="BL82" s="14">
        <f t="shared" si="56"/>
        <v>0</v>
      </c>
      <c r="BM82" s="14">
        <f t="shared" si="57"/>
        <v>0</v>
      </c>
      <c r="BN82" s="14">
        <v>0</v>
      </c>
      <c r="BO82" s="14"/>
      <c r="BP82" s="14"/>
      <c r="BQ82" s="14"/>
      <c r="BR82" s="14">
        <v>0</v>
      </c>
      <c r="BS82" s="14"/>
      <c r="BT82" s="14">
        <v>0</v>
      </c>
      <c r="BU82" s="14"/>
      <c r="BV82" s="14">
        <v>0</v>
      </c>
      <c r="BW82" s="14"/>
      <c r="BX82" s="14">
        <v>30476.99</v>
      </c>
      <c r="BY82" s="14">
        <f t="shared" si="58"/>
        <v>30476.99</v>
      </c>
      <c r="BZ82" s="14">
        <f t="shared" si="59"/>
        <v>0</v>
      </c>
      <c r="CA82" s="14">
        <v>27976.99</v>
      </c>
      <c r="CB82" s="14">
        <f t="shared" si="60"/>
        <v>27976.99</v>
      </c>
      <c r="CC82" s="14">
        <f t="shared" si="61"/>
        <v>0</v>
      </c>
      <c r="CD82" s="14">
        <v>0</v>
      </c>
      <c r="CE82" s="14"/>
      <c r="CF82" s="14"/>
      <c r="CG82" s="14">
        <v>0</v>
      </c>
      <c r="CH82" s="14"/>
      <c r="CI82" s="14">
        <v>969.86300000000006</v>
      </c>
      <c r="CJ82" s="14">
        <v>0</v>
      </c>
      <c r="CK82" s="14"/>
      <c r="CL82" s="14">
        <v>0</v>
      </c>
      <c r="CM82" s="14">
        <v>7.4999999999999997E-2</v>
      </c>
      <c r="CN82" s="14">
        <v>0</v>
      </c>
      <c r="CO82" s="14">
        <v>0</v>
      </c>
      <c r="CP82" s="14">
        <v>0</v>
      </c>
      <c r="CQ82" s="14"/>
      <c r="CR82" s="14">
        <v>0</v>
      </c>
      <c r="CS82" s="14"/>
      <c r="CT82" s="14">
        <v>1500</v>
      </c>
      <c r="CU82" s="14">
        <f t="shared" si="71"/>
        <v>1500</v>
      </c>
      <c r="CV82" s="14">
        <f t="shared" si="72"/>
        <v>0</v>
      </c>
      <c r="CW82" s="14">
        <v>0</v>
      </c>
      <c r="CX82" s="14">
        <f t="shared" si="62"/>
        <v>0</v>
      </c>
      <c r="CY82" s="14">
        <f t="shared" si="63"/>
        <v>0</v>
      </c>
      <c r="CZ82" s="14">
        <v>1500</v>
      </c>
      <c r="DA82" s="14">
        <f t="shared" si="64"/>
        <v>1500</v>
      </c>
      <c r="DB82" s="14">
        <f t="shared" si="65"/>
        <v>0</v>
      </c>
      <c r="DC82" s="14">
        <v>598.27</v>
      </c>
      <c r="DD82" s="14">
        <f t="shared" si="66"/>
        <v>598.27</v>
      </c>
      <c r="DE82" s="14">
        <f t="shared" si="67"/>
        <v>0</v>
      </c>
      <c r="DF82" s="14">
        <v>28976.99</v>
      </c>
      <c r="DG82" s="14">
        <f t="shared" si="68"/>
        <v>28976.99</v>
      </c>
      <c r="DH82" s="14">
        <f t="shared" si="69"/>
        <v>0</v>
      </c>
      <c r="DI82" s="14">
        <v>0</v>
      </c>
      <c r="DJ82" s="14">
        <f>IFERROR(VLOOKUP(D82,#REF!,2,0),0)</f>
        <v>0</v>
      </c>
      <c r="DK82" s="14">
        <f t="shared" si="70"/>
        <v>0</v>
      </c>
      <c r="DL82" s="14">
        <v>27976.99</v>
      </c>
      <c r="DM82" s="14">
        <v>492867.71</v>
      </c>
      <c r="DN82" s="14">
        <v>2250</v>
      </c>
      <c r="DO82" s="14">
        <v>976.99</v>
      </c>
      <c r="DP82" s="14">
        <v>0</v>
      </c>
      <c r="DQ82" s="14">
        <v>30476.99</v>
      </c>
      <c r="DR82" s="14">
        <v>28</v>
      </c>
      <c r="DS82" s="14">
        <v>0</v>
      </c>
      <c r="DT82" s="5" t="s">
        <v>206</v>
      </c>
      <c r="DU82" s="5" t="s">
        <v>195</v>
      </c>
      <c r="DV82" s="5" t="s">
        <v>196</v>
      </c>
      <c r="DW82" s="5" t="s">
        <v>197</v>
      </c>
    </row>
    <row r="83" spans="1:127" ht="16.5">
      <c r="A83" s="5" t="s">
        <v>184</v>
      </c>
      <c r="B83" s="5" t="s">
        <v>147</v>
      </c>
      <c r="C83" s="5" t="s">
        <v>148</v>
      </c>
      <c r="D83" s="5" t="s">
        <v>666</v>
      </c>
      <c r="E83" s="5" t="e">
        <f>VLOOKUP(D83,#REF!,1,0)</f>
        <v>#REF!</v>
      </c>
      <c r="F83" s="5" t="s">
        <v>667</v>
      </c>
      <c r="G83" s="5" t="s">
        <v>668</v>
      </c>
      <c r="H83" s="5" t="str">
        <f t="shared" si="45"/>
        <v>Kit Yan Yip</v>
      </c>
      <c r="I83" s="5" t="e">
        <f>VLOOKUP(D83,#REF!,9,0)</f>
        <v>#REF!</v>
      </c>
      <c r="J83" s="5" t="e">
        <f t="shared" si="46"/>
        <v>#REF!</v>
      </c>
      <c r="K83" s="5" t="s">
        <v>669</v>
      </c>
      <c r="L83" s="5" t="s">
        <v>151</v>
      </c>
      <c r="M83" s="5" t="s">
        <v>670</v>
      </c>
      <c r="N83" s="10" t="e">
        <f>VLOOKUP(D83,#REF!,80,0)</f>
        <v>#REF!</v>
      </c>
      <c r="O83" s="11" t="e">
        <f t="shared" si="47"/>
        <v>#REF!</v>
      </c>
      <c r="P83" s="5" t="s">
        <v>500</v>
      </c>
      <c r="Q83" s="5" t="e">
        <f>VLOOKUP(D83,#REF!,50,0)</f>
        <v>#REF!</v>
      </c>
      <c r="R83" s="5" t="e">
        <f t="shared" si="48"/>
        <v>#REF!</v>
      </c>
      <c r="S83" s="5" t="s">
        <v>671</v>
      </c>
      <c r="T83" s="5" t="e">
        <f>VLOOKUP(D83,#REF!,21,0)</f>
        <v>#REF!</v>
      </c>
      <c r="U83" s="5" t="e">
        <f t="shared" si="49"/>
        <v>#REF!</v>
      </c>
      <c r="V83" s="5" t="s">
        <v>502</v>
      </c>
      <c r="W83" s="5" t="e">
        <f>VLOOKUP(D83,#REF!,51,0)</f>
        <v>#REF!</v>
      </c>
      <c r="X83" s="5" t="e">
        <f t="shared" si="50"/>
        <v>#REF!</v>
      </c>
      <c r="Y83" s="5" t="s">
        <v>192</v>
      </c>
      <c r="Z83" s="5" t="s">
        <v>193</v>
      </c>
      <c r="AA83" s="14">
        <v>13.07</v>
      </c>
      <c r="AB83" s="14">
        <v>100504</v>
      </c>
      <c r="AC83" s="14" t="e">
        <f>ROUND(VLOOKUP(D83,#REF!,59,0),0)</f>
        <v>#REF!</v>
      </c>
      <c r="AD83" s="14" t="e">
        <f t="shared" si="73"/>
        <v>#REF!</v>
      </c>
      <c r="AE83" s="14">
        <v>100504</v>
      </c>
      <c r="AF83" s="14">
        <f t="shared" si="74"/>
        <v>100504</v>
      </c>
      <c r="AG83" s="14">
        <f t="shared" si="75"/>
        <v>0</v>
      </c>
      <c r="AH83" s="14">
        <v>0</v>
      </c>
      <c r="AI83" s="14"/>
      <c r="AJ83" s="14"/>
      <c r="AK83" s="14">
        <v>0</v>
      </c>
      <c r="AL83" s="14"/>
      <c r="AM83" s="14"/>
      <c r="AN83" s="14">
        <v>0</v>
      </c>
      <c r="AO83" s="14">
        <v>0</v>
      </c>
      <c r="AP83" s="14">
        <f>IFERROR(VLOOKUP('Feb for check'!D83,#REF!,15,0),0)</f>
        <v>0</v>
      </c>
      <c r="AQ83" s="14">
        <f t="shared" si="51"/>
        <v>0</v>
      </c>
      <c r="AR83" s="14">
        <v>0</v>
      </c>
      <c r="AS83" s="14">
        <f t="shared" si="52"/>
        <v>0</v>
      </c>
      <c r="AT83" s="14">
        <f t="shared" si="53"/>
        <v>0</v>
      </c>
      <c r="AU83" s="14">
        <v>0</v>
      </c>
      <c r="AV83" s="14"/>
      <c r="AW83" s="14">
        <v>0</v>
      </c>
      <c r="AX83" s="14"/>
      <c r="AY83" s="14">
        <v>0</v>
      </c>
      <c r="AZ83" s="14"/>
      <c r="BA83" s="14">
        <v>0</v>
      </c>
      <c r="BB83" s="14">
        <f>IFERROR(VLOOKUP(D83,#REF!,2,0),0)</f>
        <v>0</v>
      </c>
      <c r="BC83" s="14" t="e">
        <f>MAX(VLOOKUP(D83,#REF!,13,0)-VLOOKUP(D83,#REF!,14,0),0)</f>
        <v>#REF!</v>
      </c>
      <c r="BD83" s="14">
        <f>IFERROR(VLOOKUP(D83,#REF!,3,0),0)</f>
        <v>0</v>
      </c>
      <c r="BE83" s="14" t="e">
        <f>MAX(VLOOKUP(D83,#REF!,22,0)-VLOOKUP(D83,#REF!,23,0),0)</f>
        <v>#REF!</v>
      </c>
      <c r="BF83" s="14" t="e">
        <f t="shared" si="54"/>
        <v>#REF!</v>
      </c>
      <c r="BG83" s="14" t="e">
        <f t="shared" si="55"/>
        <v>#REF!</v>
      </c>
      <c r="BH83" s="14">
        <v>0</v>
      </c>
      <c r="BI83" s="14"/>
      <c r="BJ83" s="14"/>
      <c r="BK83" s="14">
        <v>2751</v>
      </c>
      <c r="BL83" s="14">
        <f t="shared" si="56"/>
        <v>2751</v>
      </c>
      <c r="BM83" s="14">
        <f t="shared" si="57"/>
        <v>0</v>
      </c>
      <c r="BN83" s="14">
        <v>0</v>
      </c>
      <c r="BO83" s="14"/>
      <c r="BP83" s="14"/>
      <c r="BQ83" s="14"/>
      <c r="BR83" s="14">
        <v>0</v>
      </c>
      <c r="BS83" s="14"/>
      <c r="BT83" s="14">
        <v>0</v>
      </c>
      <c r="BU83" s="14"/>
      <c r="BV83" s="14">
        <v>0</v>
      </c>
      <c r="BW83" s="14"/>
      <c r="BX83" s="14">
        <v>103255</v>
      </c>
      <c r="BY83" s="14">
        <f t="shared" si="58"/>
        <v>103255</v>
      </c>
      <c r="BZ83" s="14">
        <f t="shared" si="59"/>
        <v>0</v>
      </c>
      <c r="CA83" s="14">
        <v>100504</v>
      </c>
      <c r="CB83" s="14">
        <f t="shared" si="60"/>
        <v>100504</v>
      </c>
      <c r="CC83" s="14">
        <f t="shared" si="61"/>
        <v>0</v>
      </c>
      <c r="CD83" s="14">
        <v>0</v>
      </c>
      <c r="CE83" s="14"/>
      <c r="CF83" s="14"/>
      <c r="CG83" s="14">
        <v>0</v>
      </c>
      <c r="CH83" s="14"/>
      <c r="CI83" s="14">
        <v>3304.241</v>
      </c>
      <c r="CJ83" s="14">
        <v>0.05</v>
      </c>
      <c r="CK83" s="14"/>
      <c r="CL83" s="14">
        <v>0</v>
      </c>
      <c r="CM83" s="14">
        <v>0.1</v>
      </c>
      <c r="CN83" s="14">
        <v>0</v>
      </c>
      <c r="CO83" s="14">
        <v>0</v>
      </c>
      <c r="CP83" s="14">
        <v>0</v>
      </c>
      <c r="CQ83" s="14"/>
      <c r="CR83" s="14">
        <v>0</v>
      </c>
      <c r="CS83" s="14"/>
      <c r="CT83" s="14">
        <v>1500</v>
      </c>
      <c r="CU83" s="14">
        <f t="shared" si="71"/>
        <v>1500</v>
      </c>
      <c r="CV83" s="14">
        <f t="shared" si="72"/>
        <v>0</v>
      </c>
      <c r="CW83" s="14">
        <v>5025.2</v>
      </c>
      <c r="CX83" s="14">
        <f t="shared" si="62"/>
        <v>5025.2</v>
      </c>
      <c r="CY83" s="14">
        <f t="shared" si="63"/>
        <v>0</v>
      </c>
      <c r="CZ83" s="14">
        <v>1500</v>
      </c>
      <c r="DA83" s="14">
        <f t="shared" si="64"/>
        <v>1500</v>
      </c>
      <c r="DB83" s="14">
        <f t="shared" si="65"/>
        <v>0</v>
      </c>
      <c r="DC83" s="14">
        <v>8550.4</v>
      </c>
      <c r="DD83" s="14">
        <f t="shared" si="66"/>
        <v>8550.4</v>
      </c>
      <c r="DE83" s="14">
        <f t="shared" si="67"/>
        <v>0</v>
      </c>
      <c r="DF83" s="14">
        <v>96729.8</v>
      </c>
      <c r="DG83" s="14">
        <f t="shared" si="68"/>
        <v>96729.8</v>
      </c>
      <c r="DH83" s="14">
        <f t="shared" si="69"/>
        <v>0</v>
      </c>
      <c r="DI83" s="14">
        <v>13427.55</v>
      </c>
      <c r="DJ83" s="14">
        <f>IFERROR(VLOOKUP(D83,#REF!,2,0),0)</f>
        <v>0</v>
      </c>
      <c r="DK83" s="14">
        <f t="shared" si="70"/>
        <v>-13427.55</v>
      </c>
      <c r="DL83" s="14">
        <v>103255</v>
      </c>
      <c r="DM83" s="14">
        <v>1888256.73</v>
      </c>
      <c r="DN83" s="14">
        <v>8375.33</v>
      </c>
      <c r="DO83" s="14">
        <v>0</v>
      </c>
      <c r="DP83" s="14">
        <v>0</v>
      </c>
      <c r="DQ83" s="14">
        <v>100504</v>
      </c>
      <c r="DR83" s="14">
        <v>28</v>
      </c>
      <c r="DS83" s="14">
        <v>0</v>
      </c>
      <c r="DT83" s="5" t="s">
        <v>206</v>
      </c>
      <c r="DU83" s="5" t="s">
        <v>195</v>
      </c>
      <c r="DV83" s="5" t="s">
        <v>196</v>
      </c>
      <c r="DW83" s="5" t="s">
        <v>197</v>
      </c>
    </row>
    <row r="84" spans="1:127" ht="16.5">
      <c r="A84" s="5" t="s">
        <v>184</v>
      </c>
      <c r="B84" s="5" t="s">
        <v>147</v>
      </c>
      <c r="C84" s="5" t="s">
        <v>148</v>
      </c>
      <c r="D84" s="5" t="s">
        <v>672</v>
      </c>
      <c r="E84" s="5" t="e">
        <f>VLOOKUP(D84,#REF!,1,0)</f>
        <v>#REF!</v>
      </c>
      <c r="F84" s="5" t="s">
        <v>583</v>
      </c>
      <c r="G84" s="5" t="s">
        <v>673</v>
      </c>
      <c r="H84" s="5" t="str">
        <f t="shared" si="45"/>
        <v>Shek Yan Cheng</v>
      </c>
      <c r="I84" s="5" t="e">
        <f>VLOOKUP(D84,#REF!,9,0)</f>
        <v>#REF!</v>
      </c>
      <c r="J84" s="5" t="e">
        <f t="shared" si="46"/>
        <v>#REF!</v>
      </c>
      <c r="K84" s="5" t="s">
        <v>660</v>
      </c>
      <c r="L84" s="5" t="s">
        <v>151</v>
      </c>
      <c r="M84" s="5" t="s">
        <v>674</v>
      </c>
      <c r="N84" s="10" t="e">
        <f>VLOOKUP(D84,#REF!,80,0)</f>
        <v>#REF!</v>
      </c>
      <c r="O84" s="11" t="e">
        <f t="shared" si="47"/>
        <v>#REF!</v>
      </c>
      <c r="P84" s="5" t="s">
        <v>260</v>
      </c>
      <c r="Q84" s="5" t="e">
        <f>VLOOKUP(D84,#REF!,50,0)</f>
        <v>#REF!</v>
      </c>
      <c r="R84" s="5" t="e">
        <f t="shared" si="48"/>
        <v>#REF!</v>
      </c>
      <c r="S84" s="5" t="s">
        <v>444</v>
      </c>
      <c r="T84" s="5" t="e">
        <f>VLOOKUP(D84,#REF!,21,0)</f>
        <v>#REF!</v>
      </c>
      <c r="U84" s="5" t="e">
        <f t="shared" si="49"/>
        <v>#REF!</v>
      </c>
      <c r="V84" s="5" t="s">
        <v>262</v>
      </c>
      <c r="W84" s="5" t="e">
        <f>VLOOKUP(D84,#REF!,51,0)</f>
        <v>#REF!</v>
      </c>
      <c r="X84" s="5" t="e">
        <f t="shared" si="50"/>
        <v>#REF!</v>
      </c>
      <c r="Y84" s="5" t="s">
        <v>192</v>
      </c>
      <c r="Z84" s="5" t="s">
        <v>193</v>
      </c>
      <c r="AA84" s="14">
        <v>3</v>
      </c>
      <c r="AB84" s="14">
        <v>23112</v>
      </c>
      <c r="AC84" s="14" t="e">
        <f>ROUND(VLOOKUP(D84,#REF!,59,0),0)</f>
        <v>#REF!</v>
      </c>
      <c r="AD84" s="14" t="e">
        <f t="shared" si="73"/>
        <v>#REF!</v>
      </c>
      <c r="AE84" s="14">
        <v>23112</v>
      </c>
      <c r="AF84" s="14">
        <f t="shared" si="74"/>
        <v>23112</v>
      </c>
      <c r="AG84" s="14">
        <f t="shared" si="75"/>
        <v>0</v>
      </c>
      <c r="AH84" s="14">
        <v>0</v>
      </c>
      <c r="AI84" s="14"/>
      <c r="AJ84" s="14"/>
      <c r="AK84" s="14">
        <v>0</v>
      </c>
      <c r="AL84" s="14"/>
      <c r="AM84" s="14"/>
      <c r="AN84" s="14">
        <v>0</v>
      </c>
      <c r="AO84" s="14">
        <v>0</v>
      </c>
      <c r="AP84" s="14">
        <f>IFERROR(VLOOKUP('Feb for check'!D84,#REF!,15,0),0)</f>
        <v>0</v>
      </c>
      <c r="AQ84" s="14">
        <f t="shared" si="51"/>
        <v>0</v>
      </c>
      <c r="AR84" s="14">
        <v>0</v>
      </c>
      <c r="AS84" s="14">
        <f t="shared" si="52"/>
        <v>0</v>
      </c>
      <c r="AT84" s="14">
        <f t="shared" si="53"/>
        <v>0</v>
      </c>
      <c r="AU84" s="14">
        <v>0</v>
      </c>
      <c r="AV84" s="14"/>
      <c r="AW84" s="14">
        <v>0</v>
      </c>
      <c r="AX84" s="14"/>
      <c r="AY84" s="14">
        <v>0</v>
      </c>
      <c r="AZ84" s="14"/>
      <c r="BA84" s="14">
        <v>339.54</v>
      </c>
      <c r="BB84" s="14">
        <f>IFERROR(VLOOKUP(D84,#REF!,2,0),0)</f>
        <v>0</v>
      </c>
      <c r="BC84" s="14" t="e">
        <f>MAX(VLOOKUP(D84,#REF!,13,0)-VLOOKUP(D84,#REF!,14,0),0)</f>
        <v>#REF!</v>
      </c>
      <c r="BD84" s="14">
        <f>IFERROR(VLOOKUP(D84,#REF!,3,0),0)</f>
        <v>0</v>
      </c>
      <c r="BE84" s="14" t="e">
        <f>MAX(VLOOKUP(D84,#REF!,22,0)-VLOOKUP(D84,#REF!,23,0),0)</f>
        <v>#REF!</v>
      </c>
      <c r="BF84" s="14" t="e">
        <f t="shared" si="54"/>
        <v>#REF!</v>
      </c>
      <c r="BG84" s="14" t="e">
        <f t="shared" si="55"/>
        <v>#REF!</v>
      </c>
      <c r="BH84" s="14">
        <v>0</v>
      </c>
      <c r="BI84" s="14"/>
      <c r="BJ84" s="14"/>
      <c r="BK84" s="14">
        <v>1834</v>
      </c>
      <c r="BL84" s="14">
        <f t="shared" si="56"/>
        <v>1834</v>
      </c>
      <c r="BM84" s="14">
        <f t="shared" si="57"/>
        <v>0</v>
      </c>
      <c r="BN84" s="14">
        <v>0</v>
      </c>
      <c r="BO84" s="14"/>
      <c r="BP84" s="14"/>
      <c r="BQ84" s="14"/>
      <c r="BR84" s="14">
        <v>0</v>
      </c>
      <c r="BS84" s="14"/>
      <c r="BT84" s="14">
        <v>0</v>
      </c>
      <c r="BU84" s="14"/>
      <c r="BV84" s="14">
        <v>0</v>
      </c>
      <c r="BW84" s="14"/>
      <c r="BX84" s="14">
        <v>25285.54</v>
      </c>
      <c r="BY84" s="14">
        <f t="shared" si="58"/>
        <v>25285.54</v>
      </c>
      <c r="BZ84" s="14">
        <f t="shared" si="59"/>
        <v>0</v>
      </c>
      <c r="CA84" s="14">
        <v>23451.54</v>
      </c>
      <c r="CB84" s="14">
        <f t="shared" si="60"/>
        <v>23451.54</v>
      </c>
      <c r="CC84" s="14">
        <f t="shared" si="61"/>
        <v>0</v>
      </c>
      <c r="CD84" s="14">
        <v>0</v>
      </c>
      <c r="CE84" s="14"/>
      <c r="CF84" s="14"/>
      <c r="CG84" s="14">
        <v>0</v>
      </c>
      <c r="CH84" s="14"/>
      <c r="CI84" s="14">
        <v>759.84649999999999</v>
      </c>
      <c r="CJ84" s="14">
        <v>0</v>
      </c>
      <c r="CK84" s="14"/>
      <c r="CL84" s="14">
        <v>0</v>
      </c>
      <c r="CM84" s="14">
        <v>7.4999999999999997E-2</v>
      </c>
      <c r="CN84" s="14">
        <v>0</v>
      </c>
      <c r="CO84" s="14">
        <v>0</v>
      </c>
      <c r="CP84" s="14">
        <v>0</v>
      </c>
      <c r="CQ84" s="14"/>
      <c r="CR84" s="14">
        <v>0</v>
      </c>
      <c r="CS84" s="14"/>
      <c r="CT84" s="14">
        <v>1264.28</v>
      </c>
      <c r="CU84" s="14">
        <f t="shared" si="71"/>
        <v>1264.277</v>
      </c>
      <c r="CV84" s="14">
        <f t="shared" si="72"/>
        <v>-2.9999999999290594E-3</v>
      </c>
      <c r="CW84" s="14">
        <v>0</v>
      </c>
      <c r="CX84" s="14">
        <f t="shared" si="62"/>
        <v>0</v>
      </c>
      <c r="CY84" s="14">
        <f t="shared" si="63"/>
        <v>0</v>
      </c>
      <c r="CZ84" s="14">
        <v>1264.28</v>
      </c>
      <c r="DA84" s="14">
        <f t="shared" si="64"/>
        <v>1264.277</v>
      </c>
      <c r="DB84" s="14">
        <f t="shared" si="65"/>
        <v>-2.9999999999290594E-3</v>
      </c>
      <c r="DC84" s="14">
        <v>494.59</v>
      </c>
      <c r="DD84" s="14">
        <f t="shared" si="66"/>
        <v>494.59</v>
      </c>
      <c r="DE84" s="14">
        <f t="shared" si="67"/>
        <v>0</v>
      </c>
      <c r="DF84" s="14">
        <v>24021.26</v>
      </c>
      <c r="DG84" s="14">
        <f t="shared" si="68"/>
        <v>24021.260000000002</v>
      </c>
      <c r="DH84" s="14">
        <f t="shared" si="69"/>
        <v>0</v>
      </c>
      <c r="DI84" s="14">
        <v>8951.69</v>
      </c>
      <c r="DJ84" s="14">
        <f>IFERROR(VLOOKUP(D84,#REF!,2,0),0)</f>
        <v>0</v>
      </c>
      <c r="DK84" s="14">
        <f t="shared" si="70"/>
        <v>-8951.69</v>
      </c>
      <c r="DL84" s="14">
        <v>25285.54</v>
      </c>
      <c r="DM84" s="14">
        <v>365583.74</v>
      </c>
      <c r="DN84" s="14">
        <v>1926</v>
      </c>
      <c r="DO84" s="14">
        <v>339.54</v>
      </c>
      <c r="DP84" s="14">
        <v>0</v>
      </c>
      <c r="DQ84" s="14">
        <v>23451.54</v>
      </c>
      <c r="DR84" s="14">
        <v>28</v>
      </c>
      <c r="DS84" s="14">
        <v>0</v>
      </c>
      <c r="DT84" s="5" t="s">
        <v>206</v>
      </c>
      <c r="DU84" s="5" t="s">
        <v>195</v>
      </c>
      <c r="DV84" s="5" t="s">
        <v>196</v>
      </c>
      <c r="DW84" s="5" t="s">
        <v>197</v>
      </c>
    </row>
    <row r="85" spans="1:127" ht="16.5">
      <c r="A85" s="5" t="s">
        <v>184</v>
      </c>
      <c r="B85" s="5" t="s">
        <v>147</v>
      </c>
      <c r="C85" s="5" t="s">
        <v>148</v>
      </c>
      <c r="D85" s="5" t="s">
        <v>675</v>
      </c>
      <c r="E85" s="5" t="e">
        <f>VLOOKUP(D85,#REF!,1,0)</f>
        <v>#REF!</v>
      </c>
      <c r="F85" s="5" t="s">
        <v>676</v>
      </c>
      <c r="G85" s="5" t="s">
        <v>677</v>
      </c>
      <c r="H85" s="5" t="str">
        <f t="shared" si="45"/>
        <v>Wing Yan Maggie Au Yeung</v>
      </c>
      <c r="I85" s="5" t="e">
        <f>VLOOKUP(D85,#REF!,9,0)</f>
        <v>#REF!</v>
      </c>
      <c r="J85" s="5" t="e">
        <f t="shared" si="46"/>
        <v>#REF!</v>
      </c>
      <c r="K85" s="5" t="s">
        <v>389</v>
      </c>
      <c r="L85" s="5" t="s">
        <v>151</v>
      </c>
      <c r="M85" s="5" t="s">
        <v>678</v>
      </c>
      <c r="N85" s="10" t="e">
        <f>VLOOKUP(D85,#REF!,80,0)</f>
        <v>#REF!</v>
      </c>
      <c r="O85" s="11" t="e">
        <f t="shared" si="47"/>
        <v>#REF!</v>
      </c>
      <c r="P85" s="5" t="s">
        <v>679</v>
      </c>
      <c r="Q85" s="5" t="e">
        <f>VLOOKUP(D85,#REF!,50,0)</f>
        <v>#REF!</v>
      </c>
      <c r="R85" s="5" t="e">
        <f t="shared" si="48"/>
        <v>#REF!</v>
      </c>
      <c r="S85" s="5" t="s">
        <v>680</v>
      </c>
      <c r="T85" s="5" t="e">
        <f>VLOOKUP(D85,#REF!,21,0)</f>
        <v>#REF!</v>
      </c>
      <c r="U85" s="5" t="e">
        <f t="shared" si="49"/>
        <v>#REF!</v>
      </c>
      <c r="V85" s="5" t="s">
        <v>681</v>
      </c>
      <c r="W85" s="5" t="e">
        <f>VLOOKUP(D85,#REF!,51,0)</f>
        <v>#REF!</v>
      </c>
      <c r="X85" s="5" t="e">
        <f t="shared" si="50"/>
        <v>#REF!</v>
      </c>
      <c r="Y85" s="5" t="s">
        <v>192</v>
      </c>
      <c r="Z85" s="5" t="s">
        <v>193</v>
      </c>
      <c r="AA85" s="14">
        <v>0.15</v>
      </c>
      <c r="AB85" s="14">
        <v>76923</v>
      </c>
      <c r="AC85" s="14" t="e">
        <f>ROUND(VLOOKUP(D85,#REF!,59,0),0)</f>
        <v>#REF!</v>
      </c>
      <c r="AD85" s="14" t="e">
        <f t="shared" si="73"/>
        <v>#REF!</v>
      </c>
      <c r="AE85" s="14">
        <v>76923</v>
      </c>
      <c r="AF85" s="14">
        <f t="shared" si="74"/>
        <v>76923</v>
      </c>
      <c r="AG85" s="14">
        <f t="shared" si="75"/>
        <v>0</v>
      </c>
      <c r="AH85" s="14">
        <v>0</v>
      </c>
      <c r="AI85" s="14"/>
      <c r="AJ85" s="14"/>
      <c r="AK85" s="14">
        <v>0</v>
      </c>
      <c r="AL85" s="14"/>
      <c r="AM85" s="14"/>
      <c r="AN85" s="14">
        <v>0</v>
      </c>
      <c r="AO85" s="14">
        <v>0</v>
      </c>
      <c r="AP85" s="14">
        <f>IFERROR(VLOOKUP('Feb for check'!D85,#REF!,15,0),0)</f>
        <v>0</v>
      </c>
      <c r="AQ85" s="14">
        <f t="shared" si="51"/>
        <v>0</v>
      </c>
      <c r="AR85" s="14">
        <v>0</v>
      </c>
      <c r="AS85" s="14">
        <f t="shared" si="52"/>
        <v>0</v>
      </c>
      <c r="AT85" s="14">
        <f t="shared" si="53"/>
        <v>0</v>
      </c>
      <c r="AU85" s="14">
        <v>0</v>
      </c>
      <c r="AV85" s="14"/>
      <c r="AW85" s="14">
        <v>0</v>
      </c>
      <c r="AX85" s="14"/>
      <c r="AY85" s="14">
        <v>0</v>
      </c>
      <c r="AZ85" s="14"/>
      <c r="BA85" s="14">
        <v>0</v>
      </c>
      <c r="BB85" s="14">
        <f>IFERROR(VLOOKUP(D85,#REF!,2,0),0)</f>
        <v>0</v>
      </c>
      <c r="BC85" s="14" t="e">
        <f>MAX(VLOOKUP(D85,#REF!,13,0)-VLOOKUP(D85,#REF!,14,0),0)</f>
        <v>#REF!</v>
      </c>
      <c r="BD85" s="14">
        <f>IFERROR(VLOOKUP(D85,#REF!,3,0),0)</f>
        <v>0</v>
      </c>
      <c r="BE85" s="14" t="e">
        <f>MAX(VLOOKUP(D85,#REF!,22,0)-VLOOKUP(D85,#REF!,23,0),0)</f>
        <v>#REF!</v>
      </c>
      <c r="BF85" s="14" t="e">
        <f t="shared" si="54"/>
        <v>#REF!</v>
      </c>
      <c r="BG85" s="14" t="e">
        <f t="shared" si="55"/>
        <v>#REF!</v>
      </c>
      <c r="BH85" s="14">
        <v>0</v>
      </c>
      <c r="BI85" s="14"/>
      <c r="BJ85" s="14"/>
      <c r="BK85" s="14">
        <v>0</v>
      </c>
      <c r="BL85" s="14">
        <f t="shared" si="56"/>
        <v>0</v>
      </c>
      <c r="BM85" s="14">
        <f t="shared" si="57"/>
        <v>0</v>
      </c>
      <c r="BN85" s="14">
        <v>0</v>
      </c>
      <c r="BO85" s="14"/>
      <c r="BP85" s="14"/>
      <c r="BQ85" s="14"/>
      <c r="BR85" s="14">
        <v>0</v>
      </c>
      <c r="BS85" s="14"/>
      <c r="BT85" s="14">
        <v>0</v>
      </c>
      <c r="BU85" s="14"/>
      <c r="BV85" s="14">
        <v>0</v>
      </c>
      <c r="BW85" s="14"/>
      <c r="BX85" s="14">
        <v>76923</v>
      </c>
      <c r="BY85" s="14">
        <f t="shared" si="58"/>
        <v>76923</v>
      </c>
      <c r="BZ85" s="14">
        <f t="shared" si="59"/>
        <v>0</v>
      </c>
      <c r="CA85" s="14">
        <v>76923</v>
      </c>
      <c r="CB85" s="14">
        <f t="shared" si="60"/>
        <v>76923</v>
      </c>
      <c r="CC85" s="14">
        <f t="shared" si="61"/>
        <v>0</v>
      </c>
      <c r="CD85" s="14">
        <v>0</v>
      </c>
      <c r="CE85" s="14"/>
      <c r="CF85" s="14"/>
      <c r="CG85" s="14">
        <v>0</v>
      </c>
      <c r="CH85" s="14"/>
      <c r="CI85" s="14">
        <v>2528.9753000000001</v>
      </c>
      <c r="CJ85" s="14">
        <v>0</v>
      </c>
      <c r="CK85" s="14"/>
      <c r="CL85" s="14">
        <v>0</v>
      </c>
      <c r="CM85" s="14">
        <v>7.4999999999999997E-2</v>
      </c>
      <c r="CN85" s="14">
        <v>0</v>
      </c>
      <c r="CO85" s="14">
        <v>0</v>
      </c>
      <c r="CP85" s="14">
        <v>0</v>
      </c>
      <c r="CQ85" s="14"/>
      <c r="CR85" s="14">
        <v>0</v>
      </c>
      <c r="CS85" s="14"/>
      <c r="CT85" s="14">
        <v>0</v>
      </c>
      <c r="CU85" s="14">
        <f t="shared" si="71"/>
        <v>1500</v>
      </c>
      <c r="CV85" s="14" t="s">
        <v>194</v>
      </c>
      <c r="CW85" s="14">
        <v>0</v>
      </c>
      <c r="CX85" s="14">
        <f t="shared" si="62"/>
        <v>0</v>
      </c>
      <c r="CY85" s="14">
        <f t="shared" si="63"/>
        <v>0</v>
      </c>
      <c r="CZ85" s="14">
        <v>0</v>
      </c>
      <c r="DA85" s="14">
        <f t="shared" si="64"/>
        <v>1500</v>
      </c>
      <c r="DB85" s="14" t="s">
        <v>194</v>
      </c>
      <c r="DC85" s="14">
        <v>0</v>
      </c>
      <c r="DD85" s="14">
        <f t="shared" si="66"/>
        <v>5769.23</v>
      </c>
      <c r="DE85" s="14" t="s">
        <v>194</v>
      </c>
      <c r="DF85" s="14">
        <v>76923</v>
      </c>
      <c r="DG85" s="14">
        <f t="shared" si="68"/>
        <v>76923</v>
      </c>
      <c r="DH85" s="14">
        <f t="shared" si="69"/>
        <v>0</v>
      </c>
      <c r="DI85" s="14">
        <v>0</v>
      </c>
      <c r="DJ85" s="14">
        <f>IFERROR(VLOOKUP(D85,#REF!,2,0),0)</f>
        <v>0</v>
      </c>
      <c r="DK85" s="14">
        <f t="shared" si="70"/>
        <v>0</v>
      </c>
      <c r="DL85" s="14">
        <v>76923</v>
      </c>
      <c r="DM85" s="14">
        <v>141827.06</v>
      </c>
      <c r="DN85" s="14">
        <v>6410.25</v>
      </c>
      <c r="DO85" s="14">
        <v>0</v>
      </c>
      <c r="DP85" s="14">
        <v>0</v>
      </c>
      <c r="DQ85" s="14">
        <v>76923</v>
      </c>
      <c r="DR85" s="14">
        <v>28</v>
      </c>
      <c r="DS85" s="14">
        <v>0</v>
      </c>
      <c r="DT85" s="5" t="s">
        <v>678</v>
      </c>
      <c r="DU85" s="5" t="s">
        <v>195</v>
      </c>
      <c r="DV85" s="5" t="s">
        <v>196</v>
      </c>
      <c r="DW85" s="5" t="s">
        <v>197</v>
      </c>
    </row>
    <row r="86" spans="1:127" ht="16.5">
      <c r="A86" s="5" t="s">
        <v>184</v>
      </c>
      <c r="B86" s="5" t="s">
        <v>147</v>
      </c>
      <c r="C86" s="5" t="s">
        <v>148</v>
      </c>
      <c r="D86" s="5" t="s">
        <v>682</v>
      </c>
      <c r="E86" s="5" t="e">
        <f>VLOOKUP(D86,#REF!,1,0)</f>
        <v>#REF!</v>
      </c>
      <c r="F86" s="5" t="s">
        <v>375</v>
      </c>
      <c r="G86" s="5" t="s">
        <v>683</v>
      </c>
      <c r="H86" s="5" t="str">
        <f t="shared" si="45"/>
        <v>Yiu Ting So</v>
      </c>
      <c r="I86" s="5" t="e">
        <f>VLOOKUP(D86,#REF!,9,0)</f>
        <v>#REF!</v>
      </c>
      <c r="J86" s="5" t="e">
        <f t="shared" si="46"/>
        <v>#REF!</v>
      </c>
      <c r="K86" s="5" t="s">
        <v>684</v>
      </c>
      <c r="L86" s="5" t="s">
        <v>151</v>
      </c>
      <c r="M86" s="5" t="s">
        <v>685</v>
      </c>
      <c r="N86" s="10" t="e">
        <f>VLOOKUP(D86,#REF!,80,0)</f>
        <v>#REF!</v>
      </c>
      <c r="O86" s="11" t="e">
        <f t="shared" si="47"/>
        <v>#REF!</v>
      </c>
      <c r="P86" s="5" t="s">
        <v>686</v>
      </c>
      <c r="Q86" s="5" t="e">
        <f>VLOOKUP(D86,#REF!,50,0)</f>
        <v>#REF!</v>
      </c>
      <c r="R86" s="5" t="e">
        <f t="shared" si="48"/>
        <v>#REF!</v>
      </c>
      <c r="S86" s="5" t="s">
        <v>687</v>
      </c>
      <c r="T86" s="5" t="e">
        <f>VLOOKUP(D86,#REF!,21,0)</f>
        <v>#REF!</v>
      </c>
      <c r="U86" s="5" t="e">
        <f t="shared" si="49"/>
        <v>#REF!</v>
      </c>
      <c r="V86" s="5" t="s">
        <v>688</v>
      </c>
      <c r="W86" s="5" t="e">
        <f>VLOOKUP(D86,#REF!,51,0)</f>
        <v>#REF!</v>
      </c>
      <c r="X86" s="5" t="e">
        <f t="shared" si="50"/>
        <v>#REF!</v>
      </c>
      <c r="Y86" s="5" t="s">
        <v>192</v>
      </c>
      <c r="Z86" s="5" t="s">
        <v>193</v>
      </c>
      <c r="AA86" s="14">
        <v>7.56</v>
      </c>
      <c r="AB86" s="14">
        <v>73353</v>
      </c>
      <c r="AC86" s="14" t="e">
        <f>ROUND(VLOOKUP(D86,#REF!,59,0),0)</f>
        <v>#REF!</v>
      </c>
      <c r="AD86" s="14" t="e">
        <f t="shared" si="73"/>
        <v>#REF!</v>
      </c>
      <c r="AE86" s="14">
        <v>73353</v>
      </c>
      <c r="AF86" s="14">
        <f t="shared" si="74"/>
        <v>73353</v>
      </c>
      <c r="AG86" s="14">
        <f t="shared" si="75"/>
        <v>0</v>
      </c>
      <c r="AH86" s="14">
        <v>0</v>
      </c>
      <c r="AI86" s="14"/>
      <c r="AJ86" s="14"/>
      <c r="AK86" s="14">
        <v>0</v>
      </c>
      <c r="AL86" s="14"/>
      <c r="AM86" s="14"/>
      <c r="AN86" s="14">
        <v>0</v>
      </c>
      <c r="AO86" s="14">
        <v>0</v>
      </c>
      <c r="AP86" s="14">
        <f>IFERROR(VLOOKUP('Feb for check'!D86,#REF!,15,0),0)</f>
        <v>0</v>
      </c>
      <c r="AQ86" s="14">
        <f t="shared" si="51"/>
        <v>0</v>
      </c>
      <c r="AR86" s="14">
        <v>0</v>
      </c>
      <c r="AS86" s="14">
        <f t="shared" si="52"/>
        <v>0</v>
      </c>
      <c r="AT86" s="14">
        <f t="shared" si="53"/>
        <v>0</v>
      </c>
      <c r="AU86" s="14">
        <v>0</v>
      </c>
      <c r="AV86" s="14"/>
      <c r="AW86" s="14">
        <v>0</v>
      </c>
      <c r="AX86" s="14"/>
      <c r="AY86" s="14">
        <v>0</v>
      </c>
      <c r="AZ86" s="14"/>
      <c r="BA86" s="14">
        <v>3988.15</v>
      </c>
      <c r="BB86" s="14">
        <f>IFERROR(VLOOKUP(D86,#REF!,2,0),0)</f>
        <v>0</v>
      </c>
      <c r="BC86" s="14" t="e">
        <f>MAX(VLOOKUP(D86,#REF!,13,0)-VLOOKUP(D86,#REF!,14,0),0)</f>
        <v>#REF!</v>
      </c>
      <c r="BD86" s="14">
        <f>IFERROR(VLOOKUP(D86,#REF!,3,0),0)</f>
        <v>0</v>
      </c>
      <c r="BE86" s="14" t="e">
        <f>MAX(VLOOKUP(D86,#REF!,22,0)-VLOOKUP(D86,#REF!,23,0),0)</f>
        <v>#REF!</v>
      </c>
      <c r="BF86" s="14" t="e">
        <f t="shared" si="54"/>
        <v>#REF!</v>
      </c>
      <c r="BG86" s="14" t="e">
        <f t="shared" si="55"/>
        <v>#REF!</v>
      </c>
      <c r="BH86" s="14">
        <v>0</v>
      </c>
      <c r="BI86" s="14"/>
      <c r="BJ86" s="14"/>
      <c r="BK86" s="14">
        <v>221</v>
      </c>
      <c r="BL86" s="14">
        <f t="shared" si="56"/>
        <v>221</v>
      </c>
      <c r="BM86" s="14">
        <f t="shared" si="57"/>
        <v>0</v>
      </c>
      <c r="BN86" s="14">
        <v>0</v>
      </c>
      <c r="BO86" s="14"/>
      <c r="BP86" s="14"/>
      <c r="BQ86" s="14"/>
      <c r="BR86" s="14">
        <v>0</v>
      </c>
      <c r="BS86" s="14"/>
      <c r="BT86" s="14">
        <v>0</v>
      </c>
      <c r="BU86" s="14"/>
      <c r="BV86" s="14">
        <v>0</v>
      </c>
      <c r="BW86" s="14"/>
      <c r="BX86" s="14">
        <v>77562.149999999994</v>
      </c>
      <c r="BY86" s="14">
        <f t="shared" si="58"/>
        <v>77562.149999999994</v>
      </c>
      <c r="BZ86" s="14">
        <f t="shared" si="59"/>
        <v>0</v>
      </c>
      <c r="CA86" s="14">
        <v>77341.149999999994</v>
      </c>
      <c r="CB86" s="14">
        <f t="shared" si="60"/>
        <v>77341.149999999994</v>
      </c>
      <c r="CC86" s="14">
        <f t="shared" si="61"/>
        <v>0</v>
      </c>
      <c r="CD86" s="14">
        <v>0</v>
      </c>
      <c r="CE86" s="14"/>
      <c r="CF86" s="14"/>
      <c r="CG86" s="14">
        <v>0</v>
      </c>
      <c r="CH86" s="14"/>
      <c r="CI86" s="14">
        <v>2411.6053999999999</v>
      </c>
      <c r="CJ86" s="14">
        <v>0.05</v>
      </c>
      <c r="CK86" s="14"/>
      <c r="CL86" s="14">
        <v>0</v>
      </c>
      <c r="CM86" s="14">
        <v>0.1</v>
      </c>
      <c r="CN86" s="14">
        <v>0</v>
      </c>
      <c r="CO86" s="14">
        <v>0</v>
      </c>
      <c r="CP86" s="14">
        <v>0</v>
      </c>
      <c r="CQ86" s="14"/>
      <c r="CR86" s="14">
        <v>0</v>
      </c>
      <c r="CS86" s="14"/>
      <c r="CT86" s="14">
        <v>1500</v>
      </c>
      <c r="CU86" s="14">
        <f t="shared" si="71"/>
        <v>1500</v>
      </c>
      <c r="CV86" s="14">
        <f t="shared" si="72"/>
        <v>0</v>
      </c>
      <c r="CW86" s="14">
        <v>3867.06</v>
      </c>
      <c r="CX86" s="14">
        <f t="shared" si="62"/>
        <v>3867.06</v>
      </c>
      <c r="CY86" s="14">
        <f t="shared" si="63"/>
        <v>0</v>
      </c>
      <c r="CZ86" s="14">
        <v>1500</v>
      </c>
      <c r="DA86" s="14">
        <f t="shared" si="64"/>
        <v>1500</v>
      </c>
      <c r="DB86" s="14">
        <f t="shared" si="65"/>
        <v>0</v>
      </c>
      <c r="DC86" s="14">
        <v>6234.12</v>
      </c>
      <c r="DD86" s="14">
        <f t="shared" si="66"/>
        <v>6234.12</v>
      </c>
      <c r="DE86" s="14">
        <f t="shared" si="67"/>
        <v>0</v>
      </c>
      <c r="DF86" s="14">
        <v>72195.09</v>
      </c>
      <c r="DG86" s="14">
        <f t="shared" si="68"/>
        <v>72195.09</v>
      </c>
      <c r="DH86" s="14">
        <f t="shared" si="69"/>
        <v>0</v>
      </c>
      <c r="DI86" s="14">
        <v>1076.1400000000001</v>
      </c>
      <c r="DJ86" s="14">
        <f>IFERROR(VLOOKUP(D86,#REF!,2,0),0)</f>
        <v>0</v>
      </c>
      <c r="DK86" s="14">
        <f t="shared" si="70"/>
        <v>-1076.1400000000001</v>
      </c>
      <c r="DL86" s="14">
        <v>77562.149999999994</v>
      </c>
      <c r="DM86" s="14">
        <v>1238518.03</v>
      </c>
      <c r="DN86" s="14">
        <v>6112.75</v>
      </c>
      <c r="DO86" s="14">
        <v>3988.15</v>
      </c>
      <c r="DP86" s="14">
        <v>0</v>
      </c>
      <c r="DQ86" s="14">
        <v>77341.149999999994</v>
      </c>
      <c r="DR86" s="14">
        <v>28</v>
      </c>
      <c r="DS86" s="14">
        <v>0</v>
      </c>
      <c r="DT86" s="5" t="s">
        <v>206</v>
      </c>
      <c r="DU86" s="5" t="s">
        <v>195</v>
      </c>
      <c r="DV86" s="5" t="s">
        <v>196</v>
      </c>
      <c r="DW86" s="5" t="s">
        <v>197</v>
      </c>
    </row>
    <row r="87" spans="1:127" ht="16.5">
      <c r="A87" s="5" t="s">
        <v>184</v>
      </c>
      <c r="B87" s="5" t="s">
        <v>147</v>
      </c>
      <c r="C87" s="5" t="s">
        <v>148</v>
      </c>
      <c r="D87" s="5" t="s">
        <v>689</v>
      </c>
      <c r="E87" s="5" t="e">
        <f>VLOOKUP(D87,#REF!,1,0)</f>
        <v>#REF!</v>
      </c>
      <c r="F87" s="5" t="s">
        <v>690</v>
      </c>
      <c r="G87" s="5" t="s">
        <v>691</v>
      </c>
      <c r="H87" s="5" t="str">
        <f t="shared" si="45"/>
        <v>Chung Yee Sum</v>
      </c>
      <c r="I87" s="5" t="e">
        <f>VLOOKUP(D87,#REF!,9,0)</f>
        <v>#REF!</v>
      </c>
      <c r="J87" s="5" t="e">
        <f t="shared" si="46"/>
        <v>#REF!</v>
      </c>
      <c r="K87" s="5" t="s">
        <v>692</v>
      </c>
      <c r="L87" s="5" t="s">
        <v>151</v>
      </c>
      <c r="M87" s="5" t="s">
        <v>634</v>
      </c>
      <c r="N87" s="10" t="e">
        <f>VLOOKUP(D87,#REF!,80,0)</f>
        <v>#REF!</v>
      </c>
      <c r="O87" s="11" t="e">
        <f t="shared" si="47"/>
        <v>#REF!</v>
      </c>
      <c r="P87" s="5" t="s">
        <v>203</v>
      </c>
      <c r="Q87" s="5" t="e">
        <f>VLOOKUP(D87,#REF!,50,0)</f>
        <v>#REF!</v>
      </c>
      <c r="R87" s="5" t="e">
        <f t="shared" si="48"/>
        <v>#REF!</v>
      </c>
      <c r="S87" s="5" t="s">
        <v>635</v>
      </c>
      <c r="T87" s="5" t="e">
        <f>VLOOKUP(D87,#REF!,21,0)</f>
        <v>#REF!</v>
      </c>
      <c r="U87" s="5" t="e">
        <f t="shared" si="49"/>
        <v>#REF!</v>
      </c>
      <c r="V87" s="5" t="s">
        <v>205</v>
      </c>
      <c r="W87" s="5" t="e">
        <f>VLOOKUP(D87,#REF!,51,0)</f>
        <v>#REF!</v>
      </c>
      <c r="X87" s="5" t="e">
        <f t="shared" si="50"/>
        <v>#REF!</v>
      </c>
      <c r="Y87" s="5" t="s">
        <v>192</v>
      </c>
      <c r="Z87" s="5" t="s">
        <v>193</v>
      </c>
      <c r="AA87" s="14">
        <v>2.64</v>
      </c>
      <c r="AB87" s="14">
        <v>57087</v>
      </c>
      <c r="AC87" s="14" t="e">
        <f>ROUND(VLOOKUP(D87,#REF!,59,0),0)</f>
        <v>#REF!</v>
      </c>
      <c r="AD87" s="14" t="e">
        <f t="shared" si="73"/>
        <v>#REF!</v>
      </c>
      <c r="AE87" s="14">
        <v>57087</v>
      </c>
      <c r="AF87" s="14">
        <f t="shared" si="74"/>
        <v>57087</v>
      </c>
      <c r="AG87" s="14">
        <f t="shared" si="75"/>
        <v>0</v>
      </c>
      <c r="AH87" s="14">
        <v>0</v>
      </c>
      <c r="AI87" s="14"/>
      <c r="AJ87" s="14"/>
      <c r="AK87" s="14">
        <v>0</v>
      </c>
      <c r="AL87" s="14"/>
      <c r="AM87" s="14"/>
      <c r="AN87" s="14">
        <v>0</v>
      </c>
      <c r="AO87" s="14">
        <v>0</v>
      </c>
      <c r="AP87" s="14">
        <f>IFERROR(VLOOKUP('Feb for check'!D87,#REF!,15,0),0)</f>
        <v>0</v>
      </c>
      <c r="AQ87" s="14">
        <f t="shared" si="51"/>
        <v>0</v>
      </c>
      <c r="AR87" s="14">
        <v>0</v>
      </c>
      <c r="AS87" s="14">
        <f t="shared" si="52"/>
        <v>0</v>
      </c>
      <c r="AT87" s="14">
        <f t="shared" si="53"/>
        <v>0</v>
      </c>
      <c r="AU87" s="14">
        <v>0</v>
      </c>
      <c r="AV87" s="14"/>
      <c r="AW87" s="14">
        <v>0</v>
      </c>
      <c r="AX87" s="14"/>
      <c r="AY87" s="14">
        <v>0</v>
      </c>
      <c r="AZ87" s="14"/>
      <c r="BA87" s="14">
        <v>275.35000000000002</v>
      </c>
      <c r="BB87" s="14">
        <f>IFERROR(VLOOKUP(D87,#REF!,2,0),0)</f>
        <v>0</v>
      </c>
      <c r="BC87" s="14" t="e">
        <f>MAX(VLOOKUP(D87,#REF!,13,0)-VLOOKUP(D87,#REF!,14,0),0)</f>
        <v>#REF!</v>
      </c>
      <c r="BD87" s="14">
        <f>IFERROR(VLOOKUP(D87,#REF!,3,0),0)</f>
        <v>0</v>
      </c>
      <c r="BE87" s="14" t="e">
        <f>MAX(VLOOKUP(D87,#REF!,22,0)-VLOOKUP(D87,#REF!,23,0),0)</f>
        <v>#REF!</v>
      </c>
      <c r="BF87" s="14" t="e">
        <f t="shared" si="54"/>
        <v>#REF!</v>
      </c>
      <c r="BG87" s="14" t="e">
        <f t="shared" si="55"/>
        <v>#REF!</v>
      </c>
      <c r="BH87" s="14">
        <v>0</v>
      </c>
      <c r="BI87" s="14"/>
      <c r="BJ87" s="14"/>
      <c r="BK87" s="14">
        <v>679</v>
      </c>
      <c r="BL87" s="14">
        <f t="shared" si="56"/>
        <v>679</v>
      </c>
      <c r="BM87" s="14">
        <f t="shared" si="57"/>
        <v>0</v>
      </c>
      <c r="BN87" s="14">
        <v>0</v>
      </c>
      <c r="BO87" s="14"/>
      <c r="BP87" s="14"/>
      <c r="BQ87" s="14"/>
      <c r="BR87" s="14">
        <v>0</v>
      </c>
      <c r="BS87" s="14"/>
      <c r="BT87" s="14">
        <v>0</v>
      </c>
      <c r="BU87" s="14"/>
      <c r="BV87" s="14">
        <v>0</v>
      </c>
      <c r="BW87" s="14"/>
      <c r="BX87" s="14">
        <v>58041.35</v>
      </c>
      <c r="BY87" s="14">
        <f t="shared" si="58"/>
        <v>58041.35</v>
      </c>
      <c r="BZ87" s="14">
        <f t="shared" si="59"/>
        <v>0</v>
      </c>
      <c r="CA87" s="14">
        <v>57362.35</v>
      </c>
      <c r="CB87" s="14">
        <f t="shared" si="60"/>
        <v>57362.35</v>
      </c>
      <c r="CC87" s="14">
        <f t="shared" si="61"/>
        <v>0</v>
      </c>
      <c r="CD87" s="14">
        <v>0</v>
      </c>
      <c r="CE87" s="14"/>
      <c r="CF87" s="14"/>
      <c r="CG87" s="14">
        <v>0</v>
      </c>
      <c r="CH87" s="14"/>
      <c r="CI87" s="14">
        <v>1876.8327999999999</v>
      </c>
      <c r="CJ87" s="14">
        <v>0</v>
      </c>
      <c r="CK87" s="14"/>
      <c r="CL87" s="14">
        <v>0</v>
      </c>
      <c r="CM87" s="14">
        <v>7.4999999999999997E-2</v>
      </c>
      <c r="CN87" s="14">
        <v>0</v>
      </c>
      <c r="CO87" s="14">
        <v>0</v>
      </c>
      <c r="CP87" s="14">
        <v>0</v>
      </c>
      <c r="CQ87" s="14"/>
      <c r="CR87" s="14">
        <v>0</v>
      </c>
      <c r="CS87" s="14"/>
      <c r="CT87" s="14">
        <v>1500</v>
      </c>
      <c r="CU87" s="14">
        <f t="shared" si="71"/>
        <v>1500</v>
      </c>
      <c r="CV87" s="14">
        <f t="shared" si="72"/>
        <v>0</v>
      </c>
      <c r="CW87" s="14">
        <v>0</v>
      </c>
      <c r="CX87" s="14">
        <f t="shared" si="62"/>
        <v>0</v>
      </c>
      <c r="CY87" s="14">
        <f t="shared" si="63"/>
        <v>0</v>
      </c>
      <c r="CZ87" s="14">
        <v>1500</v>
      </c>
      <c r="DA87" s="14">
        <f t="shared" si="64"/>
        <v>1500</v>
      </c>
      <c r="DB87" s="14">
        <f t="shared" si="65"/>
        <v>0</v>
      </c>
      <c r="DC87" s="14">
        <v>2802.18</v>
      </c>
      <c r="DD87" s="14">
        <f t="shared" si="66"/>
        <v>2802.18</v>
      </c>
      <c r="DE87" s="14">
        <f t="shared" si="67"/>
        <v>0</v>
      </c>
      <c r="DF87" s="14">
        <v>56541.35</v>
      </c>
      <c r="DG87" s="14">
        <f t="shared" si="68"/>
        <v>56541.35</v>
      </c>
      <c r="DH87" s="14">
        <f t="shared" si="69"/>
        <v>0</v>
      </c>
      <c r="DI87" s="14">
        <v>3314.06</v>
      </c>
      <c r="DJ87" s="14">
        <f>IFERROR(VLOOKUP(D87,#REF!,2,0),0)</f>
        <v>0</v>
      </c>
      <c r="DK87" s="14">
        <f t="shared" si="70"/>
        <v>-3314.06</v>
      </c>
      <c r="DL87" s="14">
        <v>58041.35</v>
      </c>
      <c r="DM87" s="14">
        <v>945750.96</v>
      </c>
      <c r="DN87" s="14">
        <v>4757.25</v>
      </c>
      <c r="DO87" s="14">
        <v>275.35000000000002</v>
      </c>
      <c r="DP87" s="14">
        <v>0</v>
      </c>
      <c r="DQ87" s="14">
        <v>57362.35</v>
      </c>
      <c r="DR87" s="14">
        <v>28</v>
      </c>
      <c r="DS87" s="14">
        <v>0</v>
      </c>
      <c r="DT87" s="5" t="s">
        <v>206</v>
      </c>
      <c r="DU87" s="5" t="s">
        <v>195</v>
      </c>
      <c r="DV87" s="5" t="s">
        <v>196</v>
      </c>
      <c r="DW87" s="5" t="s">
        <v>197</v>
      </c>
    </row>
    <row r="88" spans="1:127" ht="16.5">
      <c r="A88" s="5" t="s">
        <v>184</v>
      </c>
      <c r="B88" s="5" t="s">
        <v>147</v>
      </c>
      <c r="C88" s="5" t="s">
        <v>148</v>
      </c>
      <c r="D88" s="5" t="s">
        <v>693</v>
      </c>
      <c r="E88" s="5" t="e">
        <f>VLOOKUP(D88,#REF!,1,0)</f>
        <v>#REF!</v>
      </c>
      <c r="F88" s="5" t="s">
        <v>583</v>
      </c>
      <c r="G88" s="5" t="s">
        <v>694</v>
      </c>
      <c r="H88" s="5" t="str">
        <f t="shared" si="45"/>
        <v>Tsz Nok Cheng</v>
      </c>
      <c r="I88" s="5" t="e">
        <f>VLOOKUP(D88,#REF!,9,0)</f>
        <v>#REF!</v>
      </c>
      <c r="J88" s="5" t="e">
        <f t="shared" si="46"/>
        <v>#REF!</v>
      </c>
      <c r="K88" s="5" t="s">
        <v>695</v>
      </c>
      <c r="L88" s="5" t="s">
        <v>151</v>
      </c>
      <c r="M88" s="5" t="s">
        <v>696</v>
      </c>
      <c r="N88" s="10" t="e">
        <f>VLOOKUP(D88,#REF!,80,0)</f>
        <v>#REF!</v>
      </c>
      <c r="O88" s="11" t="e">
        <f t="shared" si="47"/>
        <v>#REF!</v>
      </c>
      <c r="P88" s="5" t="s">
        <v>338</v>
      </c>
      <c r="Q88" s="5" t="e">
        <f>VLOOKUP(D88,#REF!,50,0)</f>
        <v>#REF!</v>
      </c>
      <c r="R88" s="5" t="e">
        <f t="shared" si="48"/>
        <v>#REF!</v>
      </c>
      <c r="S88" s="5" t="s">
        <v>653</v>
      </c>
      <c r="T88" s="5" t="e">
        <f>VLOOKUP(D88,#REF!,21,0)</f>
        <v>#REF!</v>
      </c>
      <c r="U88" s="5" t="e">
        <f t="shared" si="49"/>
        <v>#REF!</v>
      </c>
      <c r="V88" s="5" t="s">
        <v>340</v>
      </c>
      <c r="W88" s="5" t="e">
        <f>VLOOKUP(D88,#REF!,51,0)</f>
        <v>#REF!</v>
      </c>
      <c r="X88" s="5" t="e">
        <f t="shared" si="50"/>
        <v>#REF!</v>
      </c>
      <c r="Y88" s="5" t="s">
        <v>192</v>
      </c>
      <c r="Z88" s="5" t="s">
        <v>193</v>
      </c>
      <c r="AA88" s="14">
        <v>13.95</v>
      </c>
      <c r="AB88" s="14">
        <v>61300</v>
      </c>
      <c r="AC88" s="14" t="e">
        <f>ROUND(VLOOKUP(D88,#REF!,59,0),0)</f>
        <v>#REF!</v>
      </c>
      <c r="AD88" s="14" t="e">
        <f t="shared" si="73"/>
        <v>#REF!</v>
      </c>
      <c r="AE88" s="14">
        <v>61300</v>
      </c>
      <c r="AF88" s="14">
        <f t="shared" si="74"/>
        <v>61300</v>
      </c>
      <c r="AG88" s="14">
        <f t="shared" si="75"/>
        <v>0</v>
      </c>
      <c r="AH88" s="14">
        <v>0</v>
      </c>
      <c r="AI88" s="14"/>
      <c r="AJ88" s="14"/>
      <c r="AK88" s="14">
        <v>0</v>
      </c>
      <c r="AL88" s="14"/>
      <c r="AM88" s="14"/>
      <c r="AN88" s="14">
        <v>0</v>
      </c>
      <c r="AO88" s="14">
        <v>2500</v>
      </c>
      <c r="AP88" s="14">
        <f>IFERROR(VLOOKUP('Feb for check'!D88,#REF!,15,0),0)</f>
        <v>0</v>
      </c>
      <c r="AQ88" s="14">
        <f t="shared" si="51"/>
        <v>-2500</v>
      </c>
      <c r="AR88" s="14">
        <v>2500</v>
      </c>
      <c r="AS88" s="14">
        <f t="shared" si="52"/>
        <v>2500</v>
      </c>
      <c r="AT88" s="14">
        <f t="shared" si="53"/>
        <v>0</v>
      </c>
      <c r="AU88" s="14">
        <v>0</v>
      </c>
      <c r="AV88" s="14"/>
      <c r="AW88" s="14">
        <v>0</v>
      </c>
      <c r="AX88" s="14"/>
      <c r="AY88" s="14">
        <v>0</v>
      </c>
      <c r="AZ88" s="14"/>
      <c r="BA88" s="14">
        <v>1033.97</v>
      </c>
      <c r="BB88" s="14">
        <f>IFERROR(VLOOKUP(D88,#REF!,2,0),0)</f>
        <v>0</v>
      </c>
      <c r="BC88" s="14" t="e">
        <f>MAX(VLOOKUP(D88,#REF!,13,0)-VLOOKUP(D88,#REF!,14,0),0)</f>
        <v>#REF!</v>
      </c>
      <c r="BD88" s="14">
        <f>IFERROR(VLOOKUP(D88,#REF!,3,0),0)</f>
        <v>0</v>
      </c>
      <c r="BE88" s="14" t="e">
        <f>MAX(VLOOKUP(D88,#REF!,22,0)-VLOOKUP(D88,#REF!,23,0),0)</f>
        <v>#REF!</v>
      </c>
      <c r="BF88" s="14" t="e">
        <f t="shared" si="54"/>
        <v>#REF!</v>
      </c>
      <c r="BG88" s="14" t="e">
        <f t="shared" si="55"/>
        <v>#REF!</v>
      </c>
      <c r="BH88" s="14">
        <v>0</v>
      </c>
      <c r="BI88" s="14"/>
      <c r="BJ88" s="14"/>
      <c r="BK88" s="14">
        <v>165</v>
      </c>
      <c r="BL88" s="14">
        <f t="shared" si="56"/>
        <v>165</v>
      </c>
      <c r="BM88" s="14">
        <f t="shared" si="57"/>
        <v>0</v>
      </c>
      <c r="BN88" s="14">
        <v>0</v>
      </c>
      <c r="BO88" s="14"/>
      <c r="BP88" s="14"/>
      <c r="BQ88" s="14"/>
      <c r="BR88" s="14">
        <v>0</v>
      </c>
      <c r="BS88" s="14"/>
      <c r="BT88" s="14">
        <v>0</v>
      </c>
      <c r="BU88" s="14"/>
      <c r="BV88" s="14">
        <v>0</v>
      </c>
      <c r="BW88" s="14"/>
      <c r="BX88" s="14">
        <v>64998.97</v>
      </c>
      <c r="BY88" s="14">
        <f t="shared" si="58"/>
        <v>64998.97</v>
      </c>
      <c r="BZ88" s="14">
        <f t="shared" si="59"/>
        <v>0</v>
      </c>
      <c r="CA88" s="14">
        <v>62333.97</v>
      </c>
      <c r="CB88" s="14">
        <f t="shared" si="60"/>
        <v>62333.97</v>
      </c>
      <c r="CC88" s="14">
        <f t="shared" si="61"/>
        <v>0</v>
      </c>
      <c r="CD88" s="14">
        <v>0</v>
      </c>
      <c r="CE88" s="14"/>
      <c r="CF88" s="14"/>
      <c r="CG88" s="14">
        <v>0</v>
      </c>
      <c r="CH88" s="14"/>
      <c r="CI88" s="14">
        <v>2097.5342000000001</v>
      </c>
      <c r="CJ88" s="14">
        <v>0.05</v>
      </c>
      <c r="CK88" s="14"/>
      <c r="CL88" s="14">
        <v>0</v>
      </c>
      <c r="CM88" s="14">
        <v>0.1</v>
      </c>
      <c r="CN88" s="14">
        <v>0</v>
      </c>
      <c r="CO88" s="14">
        <v>0</v>
      </c>
      <c r="CP88" s="14">
        <v>0</v>
      </c>
      <c r="CQ88" s="14"/>
      <c r="CR88" s="14">
        <v>0</v>
      </c>
      <c r="CS88" s="14"/>
      <c r="CT88" s="14">
        <v>1500</v>
      </c>
      <c r="CU88" s="14">
        <f t="shared" si="71"/>
        <v>1500</v>
      </c>
      <c r="CV88" s="14">
        <f t="shared" si="72"/>
        <v>0</v>
      </c>
      <c r="CW88" s="14">
        <v>3116.7</v>
      </c>
      <c r="CX88" s="14">
        <f t="shared" si="62"/>
        <v>3116.7</v>
      </c>
      <c r="CY88" s="14">
        <f t="shared" si="63"/>
        <v>0</v>
      </c>
      <c r="CZ88" s="14">
        <v>1500</v>
      </c>
      <c r="DA88" s="14">
        <f t="shared" si="64"/>
        <v>1500</v>
      </c>
      <c r="DB88" s="14">
        <f t="shared" si="65"/>
        <v>0</v>
      </c>
      <c r="DC88" s="14">
        <v>4733.3999999999996</v>
      </c>
      <c r="DD88" s="14">
        <f t="shared" si="66"/>
        <v>4733.3999999999996</v>
      </c>
      <c r="DE88" s="14">
        <f t="shared" si="67"/>
        <v>0</v>
      </c>
      <c r="DF88" s="14">
        <v>60382.27</v>
      </c>
      <c r="DG88" s="14">
        <f t="shared" si="68"/>
        <v>60382.270000000004</v>
      </c>
      <c r="DH88" s="14">
        <f t="shared" si="69"/>
        <v>0</v>
      </c>
      <c r="DI88" s="14">
        <v>804.31</v>
      </c>
      <c r="DJ88" s="14">
        <f>IFERROR(VLOOKUP(D88,#REF!,2,0),0)</f>
        <v>0</v>
      </c>
      <c r="DK88" s="14">
        <f t="shared" si="70"/>
        <v>-804.31</v>
      </c>
      <c r="DL88" s="14">
        <v>62498.97</v>
      </c>
      <c r="DM88" s="14">
        <v>1016897.39</v>
      </c>
      <c r="DN88" s="14">
        <v>5108.33</v>
      </c>
      <c r="DO88" s="14">
        <v>1033.97</v>
      </c>
      <c r="DP88" s="14">
        <v>0</v>
      </c>
      <c r="DQ88" s="14">
        <v>64833.97</v>
      </c>
      <c r="DR88" s="14">
        <v>28</v>
      </c>
      <c r="DS88" s="14">
        <v>0</v>
      </c>
      <c r="DT88" s="5" t="s">
        <v>206</v>
      </c>
      <c r="DU88" s="5" t="s">
        <v>195</v>
      </c>
      <c r="DV88" s="5" t="s">
        <v>196</v>
      </c>
      <c r="DW88" s="5" t="s">
        <v>197</v>
      </c>
    </row>
    <row r="89" spans="1:127" ht="16.5">
      <c r="A89" s="5" t="s">
        <v>184</v>
      </c>
      <c r="B89" s="5" t="s">
        <v>147</v>
      </c>
      <c r="C89" s="5" t="s">
        <v>148</v>
      </c>
      <c r="D89" s="5" t="s">
        <v>697</v>
      </c>
      <c r="E89" s="5" t="e">
        <f>VLOOKUP(D89,#REF!,1,0)</f>
        <v>#REF!</v>
      </c>
      <c r="F89" s="5" t="s">
        <v>698</v>
      </c>
      <c r="G89" s="5" t="s">
        <v>699</v>
      </c>
      <c r="H89" s="5" t="str">
        <f t="shared" si="45"/>
        <v>Jonan Kwong</v>
      </c>
      <c r="I89" s="5" t="e">
        <f>VLOOKUP(D89,#REF!,9,0)</f>
        <v>#REF!</v>
      </c>
      <c r="J89" s="5" t="e">
        <f t="shared" si="46"/>
        <v>#REF!</v>
      </c>
      <c r="K89" s="5" t="s">
        <v>699</v>
      </c>
      <c r="L89" s="5" t="s">
        <v>151</v>
      </c>
      <c r="M89" s="5" t="s">
        <v>700</v>
      </c>
      <c r="N89" s="10" t="e">
        <f>VLOOKUP(D89,#REF!,80,0)</f>
        <v>#REF!</v>
      </c>
      <c r="O89" s="11" t="e">
        <f t="shared" si="47"/>
        <v>#REF!</v>
      </c>
      <c r="P89" s="5" t="s">
        <v>402</v>
      </c>
      <c r="Q89" s="5" t="e">
        <f>VLOOKUP(D89,#REF!,50,0)</f>
        <v>#REF!</v>
      </c>
      <c r="R89" s="5" t="e">
        <f t="shared" si="48"/>
        <v>#REF!</v>
      </c>
      <c r="S89" s="5" t="s">
        <v>701</v>
      </c>
      <c r="T89" s="5" t="e">
        <f>VLOOKUP(D89,#REF!,21,0)</f>
        <v>#REF!</v>
      </c>
      <c r="U89" s="5" t="e">
        <f t="shared" si="49"/>
        <v>#REF!</v>
      </c>
      <c r="V89" s="5" t="s">
        <v>404</v>
      </c>
      <c r="W89" s="5" t="e">
        <f>VLOOKUP(D89,#REF!,51,0)</f>
        <v>#REF!</v>
      </c>
      <c r="X89" s="5" t="e">
        <f t="shared" si="50"/>
        <v>#REF!</v>
      </c>
      <c r="Y89" s="5" t="s">
        <v>192</v>
      </c>
      <c r="Z89" s="5" t="s">
        <v>193</v>
      </c>
      <c r="AA89" s="14">
        <v>24.7</v>
      </c>
      <c r="AB89" s="14">
        <v>81253</v>
      </c>
      <c r="AC89" s="14" t="e">
        <f>ROUND(VLOOKUP(D89,#REF!,59,0),0)</f>
        <v>#REF!</v>
      </c>
      <c r="AD89" s="14" t="e">
        <f t="shared" si="73"/>
        <v>#REF!</v>
      </c>
      <c r="AE89" s="14">
        <v>81253</v>
      </c>
      <c r="AF89" s="14">
        <f t="shared" si="74"/>
        <v>81253</v>
      </c>
      <c r="AG89" s="14">
        <f t="shared" si="75"/>
        <v>0</v>
      </c>
      <c r="AH89" s="14">
        <v>0</v>
      </c>
      <c r="AI89" s="14"/>
      <c r="AJ89" s="14"/>
      <c r="AK89" s="14">
        <v>0</v>
      </c>
      <c r="AL89" s="14"/>
      <c r="AM89" s="14"/>
      <c r="AN89" s="14">
        <v>0</v>
      </c>
      <c r="AO89" s="14">
        <v>0</v>
      </c>
      <c r="AP89" s="14">
        <f>IFERROR(VLOOKUP('Feb for check'!D89,#REF!,15,0),0)</f>
        <v>0</v>
      </c>
      <c r="AQ89" s="14">
        <f t="shared" si="51"/>
        <v>0</v>
      </c>
      <c r="AR89" s="14">
        <v>0</v>
      </c>
      <c r="AS89" s="14">
        <f t="shared" si="52"/>
        <v>0</v>
      </c>
      <c r="AT89" s="14">
        <f t="shared" si="53"/>
        <v>0</v>
      </c>
      <c r="AU89" s="14">
        <v>0</v>
      </c>
      <c r="AV89" s="14"/>
      <c r="AW89" s="14">
        <v>0</v>
      </c>
      <c r="AX89" s="14"/>
      <c r="AY89" s="14">
        <v>0</v>
      </c>
      <c r="AZ89" s="14"/>
      <c r="BA89" s="14">
        <v>1773.6</v>
      </c>
      <c r="BB89" s="14">
        <f>IFERROR(VLOOKUP(D89,#REF!,2,0),0)</f>
        <v>0</v>
      </c>
      <c r="BC89" s="14" t="e">
        <f>MAX(VLOOKUP(D89,#REF!,13,0)-VLOOKUP(D89,#REF!,14,0),0)</f>
        <v>#REF!</v>
      </c>
      <c r="BD89" s="14">
        <f>IFERROR(VLOOKUP(D89,#REF!,3,0),0)</f>
        <v>0</v>
      </c>
      <c r="BE89" s="14" t="e">
        <f>MAX(VLOOKUP(D89,#REF!,22,0)-VLOOKUP(D89,#REF!,23,0),0)</f>
        <v>#REF!</v>
      </c>
      <c r="BF89" s="14" t="e">
        <f t="shared" si="54"/>
        <v>#REF!</v>
      </c>
      <c r="BG89" s="14" t="e">
        <f t="shared" si="55"/>
        <v>#REF!</v>
      </c>
      <c r="BH89" s="14">
        <v>0</v>
      </c>
      <c r="BI89" s="14"/>
      <c r="BJ89" s="14"/>
      <c r="BK89" s="14">
        <v>1834</v>
      </c>
      <c r="BL89" s="14">
        <f t="shared" si="56"/>
        <v>1834</v>
      </c>
      <c r="BM89" s="14">
        <f t="shared" si="57"/>
        <v>0</v>
      </c>
      <c r="BN89" s="14">
        <v>0</v>
      </c>
      <c r="BO89" s="14"/>
      <c r="BP89" s="14"/>
      <c r="BQ89" s="14"/>
      <c r="BR89" s="14">
        <v>0</v>
      </c>
      <c r="BS89" s="14"/>
      <c r="BT89" s="14">
        <v>0</v>
      </c>
      <c r="BU89" s="14"/>
      <c r="BV89" s="14">
        <v>0</v>
      </c>
      <c r="BW89" s="14"/>
      <c r="BX89" s="14">
        <v>84860.6</v>
      </c>
      <c r="BY89" s="14">
        <f t="shared" si="58"/>
        <v>84860.6</v>
      </c>
      <c r="BZ89" s="14">
        <f t="shared" si="59"/>
        <v>0</v>
      </c>
      <c r="CA89" s="14">
        <v>83026.600000000006</v>
      </c>
      <c r="CB89" s="14">
        <f t="shared" si="60"/>
        <v>83026.600000000006</v>
      </c>
      <c r="CC89" s="14">
        <f t="shared" si="61"/>
        <v>0</v>
      </c>
      <c r="CD89" s="14">
        <v>0</v>
      </c>
      <c r="CE89" s="14"/>
      <c r="CF89" s="14"/>
      <c r="CG89" s="14">
        <v>0</v>
      </c>
      <c r="CH89" s="14"/>
      <c r="CI89" s="14">
        <v>2671.3314999999998</v>
      </c>
      <c r="CJ89" s="14">
        <v>0.05</v>
      </c>
      <c r="CK89" s="14"/>
      <c r="CL89" s="14">
        <v>0</v>
      </c>
      <c r="CM89" s="14">
        <v>0.1</v>
      </c>
      <c r="CN89" s="14">
        <v>0</v>
      </c>
      <c r="CO89" s="14">
        <v>0</v>
      </c>
      <c r="CP89" s="14">
        <v>0</v>
      </c>
      <c r="CQ89" s="14"/>
      <c r="CR89" s="14">
        <v>0</v>
      </c>
      <c r="CS89" s="14"/>
      <c r="CT89" s="14">
        <v>1500</v>
      </c>
      <c r="CU89" s="14">
        <f t="shared" si="71"/>
        <v>1500</v>
      </c>
      <c r="CV89" s="14">
        <f t="shared" si="72"/>
        <v>0</v>
      </c>
      <c r="CW89" s="14">
        <v>4151.33</v>
      </c>
      <c r="CX89" s="14">
        <f t="shared" si="62"/>
        <v>4151.33</v>
      </c>
      <c r="CY89" s="14">
        <f t="shared" si="63"/>
        <v>0</v>
      </c>
      <c r="CZ89" s="14">
        <v>1500</v>
      </c>
      <c r="DA89" s="14">
        <f t="shared" si="64"/>
        <v>1500</v>
      </c>
      <c r="DB89" s="14">
        <f t="shared" si="65"/>
        <v>0</v>
      </c>
      <c r="DC89" s="14">
        <v>6802.66</v>
      </c>
      <c r="DD89" s="14">
        <f t="shared" si="66"/>
        <v>6802.66</v>
      </c>
      <c r="DE89" s="14">
        <f t="shared" si="67"/>
        <v>0</v>
      </c>
      <c r="DF89" s="14">
        <v>79209.27</v>
      </c>
      <c r="DG89" s="14">
        <f t="shared" si="68"/>
        <v>79209.27</v>
      </c>
      <c r="DH89" s="14">
        <f t="shared" si="69"/>
        <v>0</v>
      </c>
      <c r="DI89" s="14">
        <v>8951.7000000000007</v>
      </c>
      <c r="DJ89" s="14">
        <f>IFERROR(VLOOKUP(D89,#REF!,2,0),0)</f>
        <v>0</v>
      </c>
      <c r="DK89" s="14">
        <f t="shared" si="70"/>
        <v>-8951.7000000000007</v>
      </c>
      <c r="DL89" s="14">
        <v>84860.6</v>
      </c>
      <c r="DM89" s="14">
        <v>1374743.63</v>
      </c>
      <c r="DN89" s="14">
        <v>6771.08</v>
      </c>
      <c r="DO89" s="14">
        <v>1773.6</v>
      </c>
      <c r="DP89" s="14">
        <v>0</v>
      </c>
      <c r="DQ89" s="14">
        <v>83026.600000000006</v>
      </c>
      <c r="DR89" s="14">
        <v>28</v>
      </c>
      <c r="DS89" s="14">
        <v>0</v>
      </c>
      <c r="DT89" s="5" t="s">
        <v>206</v>
      </c>
      <c r="DU89" s="5" t="s">
        <v>195</v>
      </c>
      <c r="DV89" s="5" t="s">
        <v>196</v>
      </c>
      <c r="DW89" s="5" t="s">
        <v>197</v>
      </c>
    </row>
    <row r="90" spans="1:127" ht="16.5">
      <c r="A90" s="5" t="s">
        <v>184</v>
      </c>
      <c r="B90" s="5" t="s">
        <v>147</v>
      </c>
      <c r="C90" s="5" t="s">
        <v>148</v>
      </c>
      <c r="D90" s="5" t="s">
        <v>702</v>
      </c>
      <c r="E90" s="5" t="e">
        <f>VLOOKUP(D90,#REF!,1,0)</f>
        <v>#REF!</v>
      </c>
      <c r="F90" s="5" t="s">
        <v>462</v>
      </c>
      <c r="G90" s="5" t="s">
        <v>703</v>
      </c>
      <c r="H90" s="5" t="str">
        <f t="shared" si="45"/>
        <v>Sze Chai Yuen</v>
      </c>
      <c r="I90" s="5" t="e">
        <f>VLOOKUP(D90,#REF!,9,0)</f>
        <v>#REF!</v>
      </c>
      <c r="J90" s="5" t="e">
        <f t="shared" si="46"/>
        <v>#REF!</v>
      </c>
      <c r="K90" s="5" t="s">
        <v>704</v>
      </c>
      <c r="L90" s="5" t="s">
        <v>151</v>
      </c>
      <c r="M90" s="5" t="s">
        <v>705</v>
      </c>
      <c r="N90" s="10" t="e">
        <f>VLOOKUP(D90,#REF!,80,0)</f>
        <v>#REF!</v>
      </c>
      <c r="O90" s="11" t="e">
        <f t="shared" si="47"/>
        <v>#REF!</v>
      </c>
      <c r="P90" s="5" t="s">
        <v>416</v>
      </c>
      <c r="Q90" s="5" t="e">
        <f>VLOOKUP(D90,#REF!,50,0)</f>
        <v>#REF!</v>
      </c>
      <c r="R90" s="5" t="e">
        <f t="shared" si="48"/>
        <v>#REF!</v>
      </c>
      <c r="S90" s="5" t="s">
        <v>706</v>
      </c>
      <c r="T90" s="5" t="e">
        <f>VLOOKUP(D90,#REF!,21,0)</f>
        <v>#REF!</v>
      </c>
      <c r="U90" s="5" t="e">
        <f t="shared" si="49"/>
        <v>#REF!</v>
      </c>
      <c r="V90" s="5" t="s">
        <v>418</v>
      </c>
      <c r="W90" s="5" t="e">
        <f>VLOOKUP(D90,#REF!,51,0)</f>
        <v>#REF!</v>
      </c>
      <c r="X90" s="5" t="e">
        <f t="shared" si="50"/>
        <v>#REF!</v>
      </c>
      <c r="Y90" s="5" t="s">
        <v>192</v>
      </c>
      <c r="Z90" s="5" t="s">
        <v>193</v>
      </c>
      <c r="AA90" s="14">
        <v>3.31</v>
      </c>
      <c r="AB90" s="14">
        <v>65208</v>
      </c>
      <c r="AC90" s="14" t="e">
        <f>ROUND(VLOOKUP(D90,#REF!,59,0),0)</f>
        <v>#REF!</v>
      </c>
      <c r="AD90" s="14" t="e">
        <f t="shared" si="73"/>
        <v>#REF!</v>
      </c>
      <c r="AE90" s="14">
        <v>65208</v>
      </c>
      <c r="AF90" s="14">
        <f t="shared" si="74"/>
        <v>65208</v>
      </c>
      <c r="AG90" s="14">
        <f t="shared" si="75"/>
        <v>0</v>
      </c>
      <c r="AH90" s="14">
        <v>0</v>
      </c>
      <c r="AI90" s="14"/>
      <c r="AJ90" s="14"/>
      <c r="AK90" s="14">
        <v>0</v>
      </c>
      <c r="AL90" s="14"/>
      <c r="AM90" s="14"/>
      <c r="AN90" s="14">
        <v>0</v>
      </c>
      <c r="AO90" s="14">
        <v>0</v>
      </c>
      <c r="AP90" s="14">
        <f>IFERROR(VLOOKUP('Feb for check'!D90,#REF!,15,0),0)</f>
        <v>0</v>
      </c>
      <c r="AQ90" s="14">
        <f t="shared" si="51"/>
        <v>0</v>
      </c>
      <c r="AR90" s="14">
        <v>0</v>
      </c>
      <c r="AS90" s="14">
        <f t="shared" si="52"/>
        <v>0</v>
      </c>
      <c r="AT90" s="14">
        <f t="shared" si="53"/>
        <v>0</v>
      </c>
      <c r="AU90" s="14">
        <v>0</v>
      </c>
      <c r="AV90" s="14"/>
      <c r="AW90" s="14">
        <v>0</v>
      </c>
      <c r="AX90" s="14"/>
      <c r="AY90" s="14">
        <v>0</v>
      </c>
      <c r="AZ90" s="14"/>
      <c r="BA90" s="14">
        <v>763.06</v>
      </c>
      <c r="BB90" s="14">
        <f>IFERROR(VLOOKUP(D90,#REF!,2,0),0)</f>
        <v>0</v>
      </c>
      <c r="BC90" s="14" t="e">
        <f>MAX(VLOOKUP(D90,#REF!,13,0)-VLOOKUP(D90,#REF!,14,0),0)</f>
        <v>#REF!</v>
      </c>
      <c r="BD90" s="14">
        <f>IFERROR(VLOOKUP(D90,#REF!,3,0),0)</f>
        <v>0</v>
      </c>
      <c r="BE90" s="14" t="e">
        <f>MAX(VLOOKUP(D90,#REF!,22,0)-VLOOKUP(D90,#REF!,23,0),0)</f>
        <v>#REF!</v>
      </c>
      <c r="BF90" s="14" t="e">
        <f t="shared" si="54"/>
        <v>#REF!</v>
      </c>
      <c r="BG90" s="14" t="e">
        <f t="shared" si="55"/>
        <v>#REF!</v>
      </c>
      <c r="BH90" s="14">
        <v>0</v>
      </c>
      <c r="BI90" s="14"/>
      <c r="BJ90" s="14"/>
      <c r="BK90" s="14">
        <v>0</v>
      </c>
      <c r="BL90" s="14">
        <f t="shared" si="56"/>
        <v>0</v>
      </c>
      <c r="BM90" s="14">
        <f t="shared" si="57"/>
        <v>0</v>
      </c>
      <c r="BN90" s="14">
        <v>0</v>
      </c>
      <c r="BO90" s="14"/>
      <c r="BP90" s="14"/>
      <c r="BQ90" s="14"/>
      <c r="BR90" s="14">
        <v>0</v>
      </c>
      <c r="BS90" s="14"/>
      <c r="BT90" s="14">
        <v>0</v>
      </c>
      <c r="BU90" s="14"/>
      <c r="BV90" s="14">
        <v>0</v>
      </c>
      <c r="BW90" s="14"/>
      <c r="BX90" s="14">
        <v>65971.06</v>
      </c>
      <c r="BY90" s="14">
        <f t="shared" si="58"/>
        <v>65971.06</v>
      </c>
      <c r="BZ90" s="14">
        <f t="shared" si="59"/>
        <v>0</v>
      </c>
      <c r="CA90" s="14">
        <v>65971.06</v>
      </c>
      <c r="CB90" s="14">
        <f t="shared" si="60"/>
        <v>65971.06</v>
      </c>
      <c r="CC90" s="14">
        <f t="shared" si="61"/>
        <v>0</v>
      </c>
      <c r="CD90" s="14">
        <v>0</v>
      </c>
      <c r="CE90" s="14"/>
      <c r="CF90" s="14"/>
      <c r="CG90" s="14">
        <v>0</v>
      </c>
      <c r="CH90" s="14"/>
      <c r="CI90" s="14">
        <v>2143.8245999999999</v>
      </c>
      <c r="CJ90" s="14">
        <v>0</v>
      </c>
      <c r="CK90" s="14"/>
      <c r="CL90" s="14">
        <v>0</v>
      </c>
      <c r="CM90" s="14">
        <v>7.4999999999999997E-2</v>
      </c>
      <c r="CN90" s="14">
        <v>0</v>
      </c>
      <c r="CO90" s="14">
        <v>0</v>
      </c>
      <c r="CP90" s="14">
        <v>0</v>
      </c>
      <c r="CQ90" s="14"/>
      <c r="CR90" s="14">
        <v>0</v>
      </c>
      <c r="CS90" s="14"/>
      <c r="CT90" s="14">
        <v>1500</v>
      </c>
      <c r="CU90" s="14">
        <f t="shared" si="71"/>
        <v>1500</v>
      </c>
      <c r="CV90" s="14">
        <f t="shared" si="72"/>
        <v>0</v>
      </c>
      <c r="CW90" s="14">
        <v>0</v>
      </c>
      <c r="CX90" s="14">
        <f t="shared" si="62"/>
        <v>0</v>
      </c>
      <c r="CY90" s="14">
        <f t="shared" si="63"/>
        <v>0</v>
      </c>
      <c r="CZ90" s="14">
        <v>1500</v>
      </c>
      <c r="DA90" s="14">
        <f t="shared" si="64"/>
        <v>1500</v>
      </c>
      <c r="DB90" s="14">
        <f t="shared" si="65"/>
        <v>0</v>
      </c>
      <c r="DC90" s="14">
        <v>3447.83</v>
      </c>
      <c r="DD90" s="14">
        <f t="shared" si="66"/>
        <v>3447.83</v>
      </c>
      <c r="DE90" s="14">
        <f t="shared" si="67"/>
        <v>0</v>
      </c>
      <c r="DF90" s="14">
        <v>64471.06</v>
      </c>
      <c r="DG90" s="14">
        <f t="shared" si="68"/>
        <v>64471.06</v>
      </c>
      <c r="DH90" s="14">
        <f t="shared" si="69"/>
        <v>0</v>
      </c>
      <c r="DI90" s="14">
        <v>0</v>
      </c>
      <c r="DJ90" s="14">
        <f>IFERROR(VLOOKUP(D90,#REF!,2,0),0)</f>
        <v>0</v>
      </c>
      <c r="DK90" s="14">
        <f t="shared" si="70"/>
        <v>0</v>
      </c>
      <c r="DL90" s="14">
        <v>65971.06</v>
      </c>
      <c r="DM90" s="14">
        <v>1129426.7</v>
      </c>
      <c r="DN90" s="14">
        <v>5434</v>
      </c>
      <c r="DO90" s="14">
        <v>763.06</v>
      </c>
      <c r="DP90" s="14">
        <v>0</v>
      </c>
      <c r="DQ90" s="14">
        <v>65971.06</v>
      </c>
      <c r="DR90" s="14">
        <v>28</v>
      </c>
      <c r="DS90" s="14">
        <v>0</v>
      </c>
      <c r="DT90" s="5" t="s">
        <v>206</v>
      </c>
      <c r="DU90" s="5" t="s">
        <v>195</v>
      </c>
      <c r="DV90" s="5" t="s">
        <v>196</v>
      </c>
      <c r="DW90" s="5" t="s">
        <v>197</v>
      </c>
    </row>
    <row r="91" spans="1:127" ht="16.5">
      <c r="A91" s="5" t="s">
        <v>184</v>
      </c>
      <c r="B91" s="5" t="s">
        <v>147</v>
      </c>
      <c r="C91" s="5" t="s">
        <v>148</v>
      </c>
      <c r="D91" s="5" t="s">
        <v>707</v>
      </c>
      <c r="E91" s="5" t="e">
        <f>VLOOKUP(D91,#REF!,1,0)</f>
        <v>#REF!</v>
      </c>
      <c r="F91" s="5" t="s">
        <v>708</v>
      </c>
      <c r="G91" s="5" t="s">
        <v>709</v>
      </c>
      <c r="H91" s="5" t="str">
        <f t="shared" si="45"/>
        <v>Wing Yan LO</v>
      </c>
      <c r="I91" s="5" t="e">
        <f>VLOOKUP(D91,#REF!,9,0)</f>
        <v>#REF!</v>
      </c>
      <c r="J91" s="5" t="e">
        <f t="shared" si="46"/>
        <v>#REF!</v>
      </c>
      <c r="K91" s="5" t="s">
        <v>710</v>
      </c>
      <c r="L91" s="5" t="s">
        <v>151</v>
      </c>
      <c r="M91" s="5" t="s">
        <v>711</v>
      </c>
      <c r="N91" s="10" t="e">
        <f>VLOOKUP(D91,#REF!,80,0)</f>
        <v>#REF!</v>
      </c>
      <c r="O91" s="11" t="e">
        <f t="shared" si="47"/>
        <v>#REF!</v>
      </c>
      <c r="P91" s="5" t="s">
        <v>306</v>
      </c>
      <c r="Q91" s="5" t="e">
        <f>VLOOKUP(D91,#REF!,50,0)</f>
        <v>#REF!</v>
      </c>
      <c r="R91" s="5" t="e">
        <f t="shared" si="48"/>
        <v>#REF!</v>
      </c>
      <c r="S91" s="5" t="s">
        <v>712</v>
      </c>
      <c r="T91" s="5" t="e">
        <f>VLOOKUP(D91,#REF!,21,0)</f>
        <v>#REF!</v>
      </c>
      <c r="U91" s="5" t="e">
        <f t="shared" si="49"/>
        <v>#REF!</v>
      </c>
      <c r="V91" s="5" t="s">
        <v>308</v>
      </c>
      <c r="W91" s="5" t="e">
        <f>VLOOKUP(D91,#REF!,51,0)</f>
        <v>#REF!</v>
      </c>
      <c r="X91" s="5" t="e">
        <f t="shared" si="50"/>
        <v>#REF!</v>
      </c>
      <c r="Y91" s="5" t="s">
        <v>192</v>
      </c>
      <c r="Z91" s="5" t="s">
        <v>193</v>
      </c>
      <c r="AA91" s="14">
        <v>0.36</v>
      </c>
      <c r="AB91" s="14">
        <v>28500</v>
      </c>
      <c r="AC91" s="14" t="e">
        <f>ROUND(VLOOKUP(D91,#REF!,59,0),0)</f>
        <v>#REF!</v>
      </c>
      <c r="AD91" s="14" t="e">
        <f t="shared" si="73"/>
        <v>#REF!</v>
      </c>
      <c r="AE91" s="14">
        <v>28500</v>
      </c>
      <c r="AF91" s="14">
        <f t="shared" si="74"/>
        <v>28500</v>
      </c>
      <c r="AG91" s="14">
        <f t="shared" si="75"/>
        <v>0</v>
      </c>
      <c r="AH91" s="14">
        <v>0</v>
      </c>
      <c r="AI91" s="14"/>
      <c r="AJ91" s="14"/>
      <c r="AK91" s="14">
        <v>0</v>
      </c>
      <c r="AL91" s="14"/>
      <c r="AM91" s="14"/>
      <c r="AN91" s="14">
        <v>0</v>
      </c>
      <c r="AO91" s="14">
        <v>0</v>
      </c>
      <c r="AP91" s="14">
        <f>IFERROR(VLOOKUP('Feb for check'!D91,#REF!,15,0),0)</f>
        <v>0</v>
      </c>
      <c r="AQ91" s="14">
        <f t="shared" si="51"/>
        <v>0</v>
      </c>
      <c r="AR91" s="14">
        <v>0</v>
      </c>
      <c r="AS91" s="14">
        <f t="shared" si="52"/>
        <v>0</v>
      </c>
      <c r="AT91" s="14">
        <f t="shared" si="53"/>
        <v>0</v>
      </c>
      <c r="AU91" s="14">
        <v>0</v>
      </c>
      <c r="AV91" s="14"/>
      <c r="AW91" s="14">
        <v>0</v>
      </c>
      <c r="AX91" s="14"/>
      <c r="AY91" s="14">
        <v>0</v>
      </c>
      <c r="AZ91" s="14"/>
      <c r="BA91" s="14">
        <v>12.77</v>
      </c>
      <c r="BB91" s="14">
        <f>IFERROR(VLOOKUP(D91,#REF!,2,0),0)</f>
        <v>0</v>
      </c>
      <c r="BC91" s="14" t="e">
        <f>MAX(VLOOKUP(D91,#REF!,13,0)-VLOOKUP(D91,#REF!,14,0),0)</f>
        <v>#REF!</v>
      </c>
      <c r="BD91" s="14">
        <f>IFERROR(VLOOKUP(D91,#REF!,3,0),0)</f>
        <v>0</v>
      </c>
      <c r="BE91" s="14" t="e">
        <f>MAX(VLOOKUP(D91,#REF!,22,0)-VLOOKUP(D91,#REF!,23,0),0)</f>
        <v>#REF!</v>
      </c>
      <c r="BF91" s="14" t="e">
        <f t="shared" si="54"/>
        <v>#REF!</v>
      </c>
      <c r="BG91" s="14" t="e">
        <f t="shared" si="55"/>
        <v>#REF!</v>
      </c>
      <c r="BH91" s="14">
        <v>0</v>
      </c>
      <c r="BI91" s="14"/>
      <c r="BJ91" s="14"/>
      <c r="BK91" s="14">
        <v>0</v>
      </c>
      <c r="BL91" s="14">
        <f t="shared" si="56"/>
        <v>0</v>
      </c>
      <c r="BM91" s="14">
        <f t="shared" si="57"/>
        <v>0</v>
      </c>
      <c r="BN91" s="14">
        <v>5606.56</v>
      </c>
      <c r="BO91" s="10" t="e">
        <f>VLOOKUP(D91,#REF!,84,0)</f>
        <v>#REF!</v>
      </c>
      <c r="BP91" s="14">
        <f>ROUND(AB91*(DATEDIF(M91,DATE(2025,1,1),"D"))/366,2)</f>
        <v>5606.56</v>
      </c>
      <c r="BQ91" s="14">
        <f>BP91-BN91</f>
        <v>0</v>
      </c>
      <c r="BR91" s="14">
        <v>0</v>
      </c>
      <c r="BS91" s="14"/>
      <c r="BT91" s="14">
        <v>0</v>
      </c>
      <c r="BU91" s="14"/>
      <c r="BV91" s="14">
        <v>0</v>
      </c>
      <c r="BW91" s="14"/>
      <c r="BX91" s="14">
        <v>34119.33</v>
      </c>
      <c r="BY91" s="14">
        <f t="shared" si="58"/>
        <v>34119.33</v>
      </c>
      <c r="BZ91" s="14">
        <f t="shared" si="59"/>
        <v>0</v>
      </c>
      <c r="CA91" s="14">
        <v>28512.77</v>
      </c>
      <c r="CB91" s="14">
        <f t="shared" si="60"/>
        <v>28512.77</v>
      </c>
      <c r="CC91" s="14">
        <f t="shared" si="61"/>
        <v>0</v>
      </c>
      <c r="CD91" s="14">
        <v>0</v>
      </c>
      <c r="CE91" s="14"/>
      <c r="CF91" s="14"/>
      <c r="CG91" s="14">
        <v>0</v>
      </c>
      <c r="CH91" s="14"/>
      <c r="CI91" s="14">
        <v>936.98630000000003</v>
      </c>
      <c r="CJ91" s="14">
        <v>0</v>
      </c>
      <c r="CK91" s="14"/>
      <c r="CL91" s="14">
        <v>0</v>
      </c>
      <c r="CM91" s="14">
        <v>7.4999999999999997E-2</v>
      </c>
      <c r="CN91" s="14">
        <v>0</v>
      </c>
      <c r="CO91" s="14">
        <v>0</v>
      </c>
      <c r="CP91" s="14">
        <v>0</v>
      </c>
      <c r="CQ91" s="14"/>
      <c r="CR91" s="14">
        <v>0</v>
      </c>
      <c r="CS91" s="14"/>
      <c r="CT91" s="14">
        <v>1500</v>
      </c>
      <c r="CU91" s="14">
        <f t="shared" si="71"/>
        <v>1500</v>
      </c>
      <c r="CV91" s="14">
        <f t="shared" si="72"/>
        <v>0</v>
      </c>
      <c r="CW91" s="14">
        <v>0</v>
      </c>
      <c r="CX91" s="14">
        <f t="shared" si="62"/>
        <v>0</v>
      </c>
      <c r="CY91" s="14">
        <f t="shared" si="63"/>
        <v>0</v>
      </c>
      <c r="CZ91" s="14">
        <v>1500</v>
      </c>
      <c r="DA91" s="14">
        <f t="shared" si="64"/>
        <v>1500</v>
      </c>
      <c r="DB91" s="14">
        <f t="shared" si="65"/>
        <v>0</v>
      </c>
      <c r="DC91" s="14">
        <v>638.46</v>
      </c>
      <c r="DD91" s="14">
        <f t="shared" si="66"/>
        <v>638.46</v>
      </c>
      <c r="DE91" s="14">
        <f t="shared" si="67"/>
        <v>0</v>
      </c>
      <c r="DF91" s="14">
        <v>32619.33</v>
      </c>
      <c r="DG91" s="14">
        <f t="shared" si="68"/>
        <v>32619.33</v>
      </c>
      <c r="DH91" s="14">
        <f t="shared" si="69"/>
        <v>0</v>
      </c>
      <c r="DI91" s="14">
        <v>0</v>
      </c>
      <c r="DJ91" s="14">
        <f>IFERROR(VLOOKUP(D91,#REF!,2,0),0)</f>
        <v>0</v>
      </c>
      <c r="DK91" s="14">
        <f t="shared" si="70"/>
        <v>0</v>
      </c>
      <c r="DL91" s="14">
        <v>34119.33</v>
      </c>
      <c r="DM91" s="14">
        <v>130379.54</v>
      </c>
      <c r="DN91" s="14">
        <v>2375</v>
      </c>
      <c r="DO91" s="14">
        <v>12.77</v>
      </c>
      <c r="DP91" s="14">
        <v>0</v>
      </c>
      <c r="DQ91" s="14">
        <v>28512.77</v>
      </c>
      <c r="DR91" s="14">
        <v>28</v>
      </c>
      <c r="DS91" s="14">
        <v>0</v>
      </c>
      <c r="DT91" s="5" t="s">
        <v>206</v>
      </c>
      <c r="DU91" s="5" t="s">
        <v>195</v>
      </c>
      <c r="DV91" s="5" t="s">
        <v>196</v>
      </c>
      <c r="DW91" s="5" t="s">
        <v>197</v>
      </c>
    </row>
    <row r="92" spans="1:127" ht="16.5">
      <c r="A92" s="5" t="s">
        <v>184</v>
      </c>
      <c r="B92" s="5" t="s">
        <v>147</v>
      </c>
      <c r="C92" s="5" t="s">
        <v>148</v>
      </c>
      <c r="D92" s="5" t="s">
        <v>713</v>
      </c>
      <c r="E92" s="5" t="e">
        <f>VLOOKUP(D92,#REF!,1,0)</f>
        <v>#REF!</v>
      </c>
      <c r="F92" s="5" t="s">
        <v>714</v>
      </c>
      <c r="G92" s="5" t="s">
        <v>715</v>
      </c>
      <c r="H92" s="5" t="str">
        <f t="shared" si="45"/>
        <v>Chun Chun Chow</v>
      </c>
      <c r="I92" s="5" t="e">
        <f>VLOOKUP(D92,#REF!,9,0)</f>
        <v>#REF!</v>
      </c>
      <c r="J92" s="5" t="e">
        <f t="shared" si="46"/>
        <v>#REF!</v>
      </c>
      <c r="K92" s="5" t="s">
        <v>716</v>
      </c>
      <c r="L92" s="5" t="s">
        <v>151</v>
      </c>
      <c r="M92" s="5" t="s">
        <v>717</v>
      </c>
      <c r="N92" s="10" t="e">
        <f>VLOOKUP(D92,#REF!,80,0)</f>
        <v>#REF!</v>
      </c>
      <c r="O92" s="11" t="e">
        <f t="shared" si="47"/>
        <v>#REF!</v>
      </c>
      <c r="P92" s="5" t="s">
        <v>203</v>
      </c>
      <c r="Q92" s="5" t="e">
        <f>VLOOKUP(D92,#REF!,50,0)</f>
        <v>#REF!</v>
      </c>
      <c r="R92" s="5" t="e">
        <f t="shared" si="48"/>
        <v>#REF!</v>
      </c>
      <c r="S92" s="5" t="s">
        <v>283</v>
      </c>
      <c r="T92" s="5" t="e">
        <f>VLOOKUP(D92,#REF!,21,0)</f>
        <v>#REF!</v>
      </c>
      <c r="U92" s="5" t="e">
        <f t="shared" si="49"/>
        <v>#REF!</v>
      </c>
      <c r="V92" s="5" t="s">
        <v>205</v>
      </c>
      <c r="W92" s="5" t="e">
        <f>VLOOKUP(D92,#REF!,51,0)</f>
        <v>#REF!</v>
      </c>
      <c r="X92" s="5" t="e">
        <f t="shared" si="50"/>
        <v>#REF!</v>
      </c>
      <c r="Y92" s="5" t="s">
        <v>192</v>
      </c>
      <c r="Z92" s="5" t="s">
        <v>193</v>
      </c>
      <c r="AA92" s="14">
        <v>30</v>
      </c>
      <c r="AB92" s="14">
        <v>57407</v>
      </c>
      <c r="AC92" s="14" t="e">
        <f>ROUND(VLOOKUP(D92,#REF!,59,0),0)</f>
        <v>#REF!</v>
      </c>
      <c r="AD92" s="14" t="e">
        <f t="shared" si="73"/>
        <v>#REF!</v>
      </c>
      <c r="AE92" s="14">
        <v>57407</v>
      </c>
      <c r="AF92" s="14">
        <f t="shared" si="74"/>
        <v>57407</v>
      </c>
      <c r="AG92" s="14">
        <f t="shared" si="75"/>
        <v>0</v>
      </c>
      <c r="AH92" s="14">
        <v>0</v>
      </c>
      <c r="AI92" s="14"/>
      <c r="AJ92" s="14"/>
      <c r="AK92" s="14">
        <v>0</v>
      </c>
      <c r="AL92" s="14"/>
      <c r="AM92" s="14"/>
      <c r="AN92" s="14">
        <v>0</v>
      </c>
      <c r="AO92" s="14">
        <v>0</v>
      </c>
      <c r="AP92" s="14">
        <f>IFERROR(VLOOKUP('Feb for check'!D92,#REF!,15,0),0)</f>
        <v>0</v>
      </c>
      <c r="AQ92" s="14">
        <f t="shared" si="51"/>
        <v>0</v>
      </c>
      <c r="AR92" s="14">
        <v>0</v>
      </c>
      <c r="AS92" s="14">
        <f t="shared" si="52"/>
        <v>0</v>
      </c>
      <c r="AT92" s="14">
        <f t="shared" si="53"/>
        <v>0</v>
      </c>
      <c r="AU92" s="14">
        <v>0</v>
      </c>
      <c r="AV92" s="14"/>
      <c r="AW92" s="14">
        <v>0</v>
      </c>
      <c r="AX92" s="14"/>
      <c r="AY92" s="14">
        <v>0</v>
      </c>
      <c r="AZ92" s="14"/>
      <c r="BA92" s="14">
        <v>0</v>
      </c>
      <c r="BB92" s="14">
        <f>IFERROR(VLOOKUP(D92,#REF!,2,0),0)</f>
        <v>0</v>
      </c>
      <c r="BC92" s="14" t="e">
        <f>MAX(VLOOKUP(D92,#REF!,13,0)-VLOOKUP(D92,#REF!,14,0),0)</f>
        <v>#REF!</v>
      </c>
      <c r="BD92" s="14">
        <f>IFERROR(VLOOKUP(D92,#REF!,3,0),0)</f>
        <v>0</v>
      </c>
      <c r="BE92" s="14" t="e">
        <f>MAX(VLOOKUP(D92,#REF!,22,0)-VLOOKUP(D92,#REF!,23,0),0)</f>
        <v>#REF!</v>
      </c>
      <c r="BF92" s="14" t="e">
        <f t="shared" si="54"/>
        <v>#REF!</v>
      </c>
      <c r="BG92" s="14" t="e">
        <f t="shared" si="55"/>
        <v>#REF!</v>
      </c>
      <c r="BH92" s="14">
        <v>0</v>
      </c>
      <c r="BI92" s="14"/>
      <c r="BJ92" s="14"/>
      <c r="BK92" s="14">
        <v>459</v>
      </c>
      <c r="BL92" s="14">
        <f t="shared" si="56"/>
        <v>459</v>
      </c>
      <c r="BM92" s="14">
        <f t="shared" si="57"/>
        <v>0</v>
      </c>
      <c r="BN92" s="14">
        <v>0</v>
      </c>
      <c r="BO92" s="14"/>
      <c r="BP92" s="14"/>
      <c r="BQ92" s="14"/>
      <c r="BR92" s="14">
        <v>0</v>
      </c>
      <c r="BS92" s="14"/>
      <c r="BT92" s="14">
        <v>0</v>
      </c>
      <c r="BU92" s="14"/>
      <c r="BV92" s="14">
        <v>0</v>
      </c>
      <c r="BW92" s="14"/>
      <c r="BX92" s="14">
        <v>0</v>
      </c>
      <c r="BY92" s="14"/>
      <c r="BZ92" s="14"/>
      <c r="CA92" s="14">
        <v>0</v>
      </c>
      <c r="CB92" s="14"/>
      <c r="CC92" s="14"/>
      <c r="CD92" s="14">
        <v>57407</v>
      </c>
      <c r="CE92" s="14">
        <f>AE92</f>
        <v>57407</v>
      </c>
      <c r="CF92" s="14">
        <f>CE92-CD92</f>
        <v>0</v>
      </c>
      <c r="CG92" s="14">
        <v>0</v>
      </c>
      <c r="CH92" s="14"/>
      <c r="CI92" s="14">
        <v>1887.3534</v>
      </c>
      <c r="CJ92" s="14">
        <v>0</v>
      </c>
      <c r="CK92" s="14"/>
      <c r="CL92" s="14">
        <v>0</v>
      </c>
      <c r="CM92" s="14">
        <v>0</v>
      </c>
      <c r="CN92" s="14">
        <v>0.05</v>
      </c>
      <c r="CO92" s="14">
        <v>6.0999999999999999E-2</v>
      </c>
      <c r="CP92" s="14">
        <v>2870.35</v>
      </c>
      <c r="CQ92" s="14">
        <f>ROUND(CN92*CD92,2)</f>
        <v>2870.35</v>
      </c>
      <c r="CR92" s="14">
        <v>3501.83</v>
      </c>
      <c r="CS92" s="14">
        <f>ROUND(CD92*CO92,2)</f>
        <v>3501.83</v>
      </c>
      <c r="CT92" s="14">
        <v>0</v>
      </c>
      <c r="CU92" s="14"/>
      <c r="CV92" s="14"/>
      <c r="CW92" s="14">
        <v>0</v>
      </c>
      <c r="CX92" s="14">
        <f t="shared" si="62"/>
        <v>0</v>
      </c>
      <c r="CY92" s="14">
        <f t="shared" si="63"/>
        <v>0</v>
      </c>
      <c r="CZ92" s="14">
        <v>0</v>
      </c>
      <c r="DA92" s="14">
        <f t="shared" si="64"/>
        <v>0</v>
      </c>
      <c r="DB92" s="14">
        <f t="shared" si="65"/>
        <v>0</v>
      </c>
      <c r="DC92" s="14">
        <v>0</v>
      </c>
      <c r="DD92" s="14">
        <f t="shared" si="66"/>
        <v>0</v>
      </c>
      <c r="DE92" s="14">
        <f t="shared" si="67"/>
        <v>0</v>
      </c>
      <c r="DF92" s="14">
        <v>54995.65</v>
      </c>
      <c r="DG92" s="14">
        <f t="shared" si="68"/>
        <v>54995.65</v>
      </c>
      <c r="DH92" s="14">
        <f t="shared" si="69"/>
        <v>0</v>
      </c>
      <c r="DI92" s="14">
        <v>2237.92</v>
      </c>
      <c r="DJ92" s="14">
        <f>IFERROR(VLOOKUP(D92,#REF!,2,0),0)</f>
        <v>0</v>
      </c>
      <c r="DK92" s="14">
        <f t="shared" si="70"/>
        <v>-2237.92</v>
      </c>
      <c r="DL92" s="14">
        <v>57866</v>
      </c>
      <c r="DM92" s="14">
        <v>976927.68</v>
      </c>
      <c r="DN92" s="14">
        <v>4783.92</v>
      </c>
      <c r="DO92" s="14">
        <v>0</v>
      </c>
      <c r="DP92" s="14">
        <v>50.98</v>
      </c>
      <c r="DQ92" s="14">
        <v>57407</v>
      </c>
      <c r="DR92" s="14">
        <v>28</v>
      </c>
      <c r="DS92" s="14">
        <v>0</v>
      </c>
      <c r="DT92" s="5" t="s">
        <v>206</v>
      </c>
      <c r="DU92" s="5" t="s">
        <v>195</v>
      </c>
      <c r="DV92" s="5" t="s">
        <v>196</v>
      </c>
      <c r="DW92" s="5" t="s">
        <v>197</v>
      </c>
    </row>
    <row r="93" spans="1:127" ht="16.5">
      <c r="A93" s="5" t="s">
        <v>184</v>
      </c>
      <c r="B93" s="5" t="s">
        <v>147</v>
      </c>
      <c r="C93" s="5" t="s">
        <v>148</v>
      </c>
      <c r="D93" s="5" t="s">
        <v>718</v>
      </c>
      <c r="E93" s="5" t="e">
        <f>VLOOKUP(D93,#REF!,1,0)</f>
        <v>#REF!</v>
      </c>
      <c r="F93" s="5" t="s">
        <v>369</v>
      </c>
      <c r="G93" s="5" t="s">
        <v>719</v>
      </c>
      <c r="H93" s="5" t="str">
        <f t="shared" si="45"/>
        <v>Tsz Lam Chan</v>
      </c>
      <c r="I93" s="5" t="e">
        <f>VLOOKUP(D93,#REF!,9,0)</f>
        <v>#REF!</v>
      </c>
      <c r="J93" s="5" t="e">
        <f t="shared" si="46"/>
        <v>#REF!</v>
      </c>
      <c r="K93" s="5" t="s">
        <v>720</v>
      </c>
      <c r="L93" s="5" t="s">
        <v>151</v>
      </c>
      <c r="M93" s="5" t="s">
        <v>721</v>
      </c>
      <c r="N93" s="10" t="e">
        <f>VLOOKUP(D93,#REF!,80,0)</f>
        <v>#REF!</v>
      </c>
      <c r="O93" s="11" t="e">
        <f t="shared" si="47"/>
        <v>#REF!</v>
      </c>
      <c r="P93" s="5" t="s">
        <v>500</v>
      </c>
      <c r="Q93" s="5" t="e">
        <f>VLOOKUP(D93,#REF!,50,0)</f>
        <v>#REF!</v>
      </c>
      <c r="R93" s="5" t="e">
        <f t="shared" si="48"/>
        <v>#REF!</v>
      </c>
      <c r="S93" s="5" t="s">
        <v>722</v>
      </c>
      <c r="T93" s="5" t="e">
        <f>VLOOKUP(D93,#REF!,21,0)</f>
        <v>#REF!</v>
      </c>
      <c r="U93" s="5" t="e">
        <f t="shared" si="49"/>
        <v>#REF!</v>
      </c>
      <c r="V93" s="5" t="s">
        <v>502</v>
      </c>
      <c r="W93" s="5" t="e">
        <f>VLOOKUP(D93,#REF!,51,0)</f>
        <v>#REF!</v>
      </c>
      <c r="X93" s="5" t="e">
        <f t="shared" si="50"/>
        <v>#REF!</v>
      </c>
      <c r="Y93" s="5" t="s">
        <v>192</v>
      </c>
      <c r="Z93" s="5" t="s">
        <v>193</v>
      </c>
      <c r="AA93" s="14">
        <v>8.58</v>
      </c>
      <c r="AB93" s="14">
        <v>73200</v>
      </c>
      <c r="AC93" s="14" t="e">
        <f>ROUND(VLOOKUP(D93,#REF!,59,0),0)</f>
        <v>#REF!</v>
      </c>
      <c r="AD93" s="14" t="e">
        <f t="shared" si="73"/>
        <v>#REF!</v>
      </c>
      <c r="AE93" s="14">
        <v>73200</v>
      </c>
      <c r="AF93" s="14">
        <f t="shared" si="74"/>
        <v>73200</v>
      </c>
      <c r="AG93" s="14">
        <f t="shared" si="75"/>
        <v>0</v>
      </c>
      <c r="AH93" s="14">
        <v>0</v>
      </c>
      <c r="AI93" s="14"/>
      <c r="AJ93" s="14"/>
      <c r="AK93" s="14">
        <v>0</v>
      </c>
      <c r="AL93" s="14"/>
      <c r="AM93" s="14"/>
      <c r="AN93" s="14">
        <v>0</v>
      </c>
      <c r="AO93" s="14">
        <v>0</v>
      </c>
      <c r="AP93" s="14">
        <f>IFERROR(VLOOKUP('Feb for check'!D93,#REF!,15,0),0)</f>
        <v>0</v>
      </c>
      <c r="AQ93" s="14">
        <f t="shared" si="51"/>
        <v>0</v>
      </c>
      <c r="AR93" s="14">
        <v>0</v>
      </c>
      <c r="AS93" s="14">
        <f t="shared" si="52"/>
        <v>0</v>
      </c>
      <c r="AT93" s="14">
        <f t="shared" si="53"/>
        <v>0</v>
      </c>
      <c r="AU93" s="14">
        <v>0</v>
      </c>
      <c r="AV93" s="14"/>
      <c r="AW93" s="14">
        <v>0</v>
      </c>
      <c r="AX93" s="14"/>
      <c r="AY93" s="14">
        <v>0</v>
      </c>
      <c r="AZ93" s="14"/>
      <c r="BA93" s="14">
        <v>343.78</v>
      </c>
      <c r="BB93" s="14">
        <f>IFERROR(VLOOKUP(D93,#REF!,2,0),0)</f>
        <v>0</v>
      </c>
      <c r="BC93" s="14" t="e">
        <f>MAX(VLOOKUP(D93,#REF!,13,0)-VLOOKUP(D93,#REF!,14,0),0)</f>
        <v>#REF!</v>
      </c>
      <c r="BD93" s="14">
        <f>IFERROR(VLOOKUP(D93,#REF!,3,0),0)</f>
        <v>0</v>
      </c>
      <c r="BE93" s="14" t="e">
        <f>MAX(VLOOKUP(D93,#REF!,22,0)-VLOOKUP(D93,#REF!,23,0),0)</f>
        <v>#REF!</v>
      </c>
      <c r="BF93" s="14" t="e">
        <f t="shared" si="54"/>
        <v>#REF!</v>
      </c>
      <c r="BG93" s="14" t="e">
        <f t="shared" si="55"/>
        <v>#REF!</v>
      </c>
      <c r="BH93" s="14">
        <v>0</v>
      </c>
      <c r="BI93" s="14"/>
      <c r="BJ93" s="14"/>
      <c r="BK93" s="14">
        <v>276</v>
      </c>
      <c r="BL93" s="14">
        <f t="shared" si="56"/>
        <v>276</v>
      </c>
      <c r="BM93" s="14">
        <f t="shared" si="57"/>
        <v>0</v>
      </c>
      <c r="BN93" s="14">
        <v>0</v>
      </c>
      <c r="BO93" s="14"/>
      <c r="BP93" s="14"/>
      <c r="BQ93" s="14"/>
      <c r="BR93" s="14">
        <v>0</v>
      </c>
      <c r="BS93" s="14"/>
      <c r="BT93" s="14">
        <v>0</v>
      </c>
      <c r="BU93" s="14"/>
      <c r="BV93" s="14">
        <v>0</v>
      </c>
      <c r="BW93" s="14"/>
      <c r="BX93" s="14">
        <v>73819.78</v>
      </c>
      <c r="BY93" s="14">
        <f t="shared" si="58"/>
        <v>73819.78</v>
      </c>
      <c r="BZ93" s="14">
        <f t="shared" si="59"/>
        <v>0</v>
      </c>
      <c r="CA93" s="14">
        <v>73543.78</v>
      </c>
      <c r="CB93" s="14">
        <f t="shared" si="60"/>
        <v>73543.78</v>
      </c>
      <c r="CC93" s="14">
        <f t="shared" si="61"/>
        <v>0</v>
      </c>
      <c r="CD93" s="14">
        <v>0</v>
      </c>
      <c r="CE93" s="14"/>
      <c r="CF93" s="14"/>
      <c r="CG93" s="14">
        <v>0</v>
      </c>
      <c r="CH93" s="14"/>
      <c r="CI93" s="14">
        <v>2406.5753</v>
      </c>
      <c r="CJ93" s="14">
        <v>0.05</v>
      </c>
      <c r="CK93" s="14" t="e">
        <f>VLOOKUP(D93,#REF!,6,0)</f>
        <v>#REF!</v>
      </c>
      <c r="CL93" s="14">
        <v>0</v>
      </c>
      <c r="CM93" s="14">
        <v>0.1</v>
      </c>
      <c r="CN93" s="14">
        <v>0</v>
      </c>
      <c r="CO93" s="14">
        <v>0</v>
      </c>
      <c r="CP93" s="14">
        <v>0</v>
      </c>
      <c r="CQ93" s="14"/>
      <c r="CR93" s="14">
        <v>0</v>
      </c>
      <c r="CS93" s="14"/>
      <c r="CT93" s="14">
        <v>1500</v>
      </c>
      <c r="CU93" s="14">
        <f t="shared" ref="CU93:CU101" si="76">MIN(BX93*5%,1500)</f>
        <v>1500</v>
      </c>
      <c r="CV93" s="14">
        <f t="shared" ref="CV93:CV101" si="77">CU93-CT93</f>
        <v>0</v>
      </c>
      <c r="CW93" s="14">
        <v>7503.01</v>
      </c>
      <c r="CX93" s="15" t="e">
        <f>ROUND(CA93*CJ93,2)+#REF!</f>
        <v>#REF!</v>
      </c>
      <c r="CY93" s="15" t="s">
        <v>723</v>
      </c>
      <c r="CZ93" s="14">
        <v>1500</v>
      </c>
      <c r="DA93" s="14">
        <f t="shared" si="64"/>
        <v>1500</v>
      </c>
      <c r="DB93" s="14">
        <f t="shared" si="65"/>
        <v>0</v>
      </c>
      <c r="DC93" s="14">
        <v>7767.29</v>
      </c>
      <c r="DD93" s="14" t="e">
        <f>MAX(ROUND(CA93*CM93-CZ93,2),0)+#REF!</f>
        <v>#REF!</v>
      </c>
      <c r="DE93" s="15" t="s">
        <v>723</v>
      </c>
      <c r="DF93" s="14">
        <v>64816.77</v>
      </c>
      <c r="DG93" s="14">
        <f t="shared" si="68"/>
        <v>64816.77</v>
      </c>
      <c r="DH93" s="14">
        <f t="shared" si="69"/>
        <v>0</v>
      </c>
      <c r="DI93" s="14">
        <v>1344.24</v>
      </c>
      <c r="DJ93" s="14">
        <f>IFERROR(VLOOKUP(D93,#REF!,2,0),0)</f>
        <v>0</v>
      </c>
      <c r="DK93" s="14">
        <f t="shared" si="70"/>
        <v>-1344.24</v>
      </c>
      <c r="DL93" s="14">
        <v>73819.78</v>
      </c>
      <c r="DM93" s="14">
        <v>984369.91</v>
      </c>
      <c r="DN93" s="14">
        <v>6100</v>
      </c>
      <c r="DO93" s="14">
        <v>343.78</v>
      </c>
      <c r="DP93" s="14">
        <v>0</v>
      </c>
      <c r="DQ93" s="14">
        <v>73543.78</v>
      </c>
      <c r="DR93" s="14">
        <v>28</v>
      </c>
      <c r="DS93" s="14">
        <v>0</v>
      </c>
      <c r="DT93" s="5" t="s">
        <v>206</v>
      </c>
      <c r="DU93" s="5" t="s">
        <v>195</v>
      </c>
      <c r="DV93" s="5" t="s">
        <v>196</v>
      </c>
      <c r="DW93" s="5" t="s">
        <v>197</v>
      </c>
    </row>
    <row r="94" spans="1:127" ht="16.5">
      <c r="A94" s="5" t="s">
        <v>184</v>
      </c>
      <c r="B94" s="5" t="s">
        <v>147</v>
      </c>
      <c r="C94" s="5" t="s">
        <v>148</v>
      </c>
      <c r="D94" s="5" t="s">
        <v>724</v>
      </c>
      <c r="E94" s="5" t="e">
        <f>VLOOKUP(D94,#REF!,1,0)</f>
        <v>#REF!</v>
      </c>
      <c r="F94" s="5" t="s">
        <v>725</v>
      </c>
      <c r="G94" s="5" t="s">
        <v>726</v>
      </c>
      <c r="H94" s="5" t="str">
        <f t="shared" si="45"/>
        <v>Shing Ching Cheuk</v>
      </c>
      <c r="I94" s="5" t="e">
        <f>VLOOKUP(D94,#REF!,9,0)</f>
        <v>#REF!</v>
      </c>
      <c r="J94" s="5" t="e">
        <f t="shared" si="46"/>
        <v>#REF!</v>
      </c>
      <c r="K94" s="5" t="s">
        <v>727</v>
      </c>
      <c r="L94" s="5" t="s">
        <v>151</v>
      </c>
      <c r="M94" s="5" t="s">
        <v>728</v>
      </c>
      <c r="N94" s="10" t="e">
        <f>VLOOKUP(D94,#REF!,80,0)</f>
        <v>#REF!</v>
      </c>
      <c r="O94" s="11" t="e">
        <f t="shared" si="47"/>
        <v>#REF!</v>
      </c>
      <c r="P94" s="5" t="s">
        <v>471</v>
      </c>
      <c r="Q94" s="5" t="e">
        <f>VLOOKUP(D94,#REF!,50,0)</f>
        <v>#REF!</v>
      </c>
      <c r="R94" s="5" t="e">
        <f t="shared" si="48"/>
        <v>#REF!</v>
      </c>
      <c r="S94" s="5" t="s">
        <v>729</v>
      </c>
      <c r="T94" s="5" t="e">
        <f>VLOOKUP(D94,#REF!,21,0)</f>
        <v>#REF!</v>
      </c>
      <c r="U94" s="5" t="e">
        <f t="shared" si="49"/>
        <v>#REF!</v>
      </c>
      <c r="V94" s="5" t="s">
        <v>473</v>
      </c>
      <c r="W94" s="5" t="e">
        <f>VLOOKUP(D94,#REF!,51,0)</f>
        <v>#REF!</v>
      </c>
      <c r="X94" s="5" t="e">
        <f t="shared" si="50"/>
        <v>#REF!</v>
      </c>
      <c r="Y94" s="5" t="s">
        <v>192</v>
      </c>
      <c r="Z94" s="5" t="s">
        <v>193</v>
      </c>
      <c r="AA94" s="14">
        <v>14.23</v>
      </c>
      <c r="AB94" s="14">
        <v>81664</v>
      </c>
      <c r="AC94" s="14" t="e">
        <f>ROUND(VLOOKUP(D94,#REF!,59,0),0)</f>
        <v>#REF!</v>
      </c>
      <c r="AD94" s="14" t="e">
        <f t="shared" si="73"/>
        <v>#REF!</v>
      </c>
      <c r="AE94" s="14">
        <v>81664</v>
      </c>
      <c r="AF94" s="14">
        <f t="shared" si="74"/>
        <v>81664</v>
      </c>
      <c r="AG94" s="14">
        <f t="shared" si="75"/>
        <v>0</v>
      </c>
      <c r="AH94" s="14">
        <v>0</v>
      </c>
      <c r="AI94" s="14"/>
      <c r="AJ94" s="14"/>
      <c r="AK94" s="14">
        <v>0</v>
      </c>
      <c r="AL94" s="14"/>
      <c r="AM94" s="14"/>
      <c r="AN94" s="14">
        <v>0</v>
      </c>
      <c r="AO94" s="14">
        <v>0</v>
      </c>
      <c r="AP94" s="14">
        <f>IFERROR(VLOOKUP('Feb for check'!D94,#REF!,15,0),0)</f>
        <v>0</v>
      </c>
      <c r="AQ94" s="14">
        <f t="shared" si="51"/>
        <v>0</v>
      </c>
      <c r="AR94" s="14">
        <v>0</v>
      </c>
      <c r="AS94" s="14">
        <f t="shared" si="52"/>
        <v>0</v>
      </c>
      <c r="AT94" s="14">
        <f t="shared" si="53"/>
        <v>0</v>
      </c>
      <c r="AU94" s="14">
        <v>0</v>
      </c>
      <c r="AV94" s="14"/>
      <c r="AW94" s="14">
        <v>0</v>
      </c>
      <c r="AX94" s="14"/>
      <c r="AY94" s="14">
        <v>0</v>
      </c>
      <c r="AZ94" s="14"/>
      <c r="BA94" s="14">
        <v>3913.6</v>
      </c>
      <c r="BB94" s="14">
        <f>IFERROR(VLOOKUP(D94,#REF!,2,0),0)</f>
        <v>0</v>
      </c>
      <c r="BC94" s="14" t="e">
        <f>MAX(VLOOKUP(D94,#REF!,13,0)-VLOOKUP(D94,#REF!,14,0),0)</f>
        <v>#REF!</v>
      </c>
      <c r="BD94" s="14">
        <f>IFERROR(VLOOKUP(D94,#REF!,3,0),0)</f>
        <v>0</v>
      </c>
      <c r="BE94" s="14" t="e">
        <f>MAX(VLOOKUP(D94,#REF!,22,0)-VLOOKUP(D94,#REF!,23,0),0)</f>
        <v>#REF!</v>
      </c>
      <c r="BF94" s="14" t="e">
        <f t="shared" si="54"/>
        <v>#REF!</v>
      </c>
      <c r="BG94" s="14" t="e">
        <f t="shared" si="55"/>
        <v>#REF!</v>
      </c>
      <c r="BH94" s="14">
        <v>0</v>
      </c>
      <c r="BI94" s="14"/>
      <c r="BJ94" s="14"/>
      <c r="BK94" s="14">
        <v>0</v>
      </c>
      <c r="BL94" s="14">
        <f t="shared" si="56"/>
        <v>0</v>
      </c>
      <c r="BM94" s="14">
        <f t="shared" si="57"/>
        <v>0</v>
      </c>
      <c r="BN94" s="14">
        <v>0</v>
      </c>
      <c r="BO94" s="14"/>
      <c r="BP94" s="14"/>
      <c r="BQ94" s="14"/>
      <c r="BR94" s="14">
        <v>0</v>
      </c>
      <c r="BS94" s="14"/>
      <c r="BT94" s="14">
        <v>0</v>
      </c>
      <c r="BU94" s="14"/>
      <c r="BV94" s="14">
        <v>0</v>
      </c>
      <c r="BW94" s="14"/>
      <c r="BX94" s="14">
        <v>85577.600000000006</v>
      </c>
      <c r="BY94" s="14">
        <f t="shared" si="58"/>
        <v>85577.600000000006</v>
      </c>
      <c r="BZ94" s="14">
        <f t="shared" si="59"/>
        <v>0</v>
      </c>
      <c r="CA94" s="14">
        <v>85577.600000000006</v>
      </c>
      <c r="CB94" s="14">
        <f t="shared" si="60"/>
        <v>85577.600000000006</v>
      </c>
      <c r="CC94" s="14">
        <f t="shared" si="61"/>
        <v>0</v>
      </c>
      <c r="CD94" s="14">
        <v>0</v>
      </c>
      <c r="CE94" s="14"/>
      <c r="CF94" s="14"/>
      <c r="CG94" s="14">
        <v>0</v>
      </c>
      <c r="CH94" s="14"/>
      <c r="CI94" s="14">
        <v>2684.8438000000001</v>
      </c>
      <c r="CJ94" s="14">
        <v>0.02</v>
      </c>
      <c r="CK94" s="14"/>
      <c r="CL94" s="14">
        <v>0</v>
      </c>
      <c r="CM94" s="14">
        <v>8.5000000000000006E-2</v>
      </c>
      <c r="CN94" s="14">
        <v>0</v>
      </c>
      <c r="CO94" s="14">
        <v>0</v>
      </c>
      <c r="CP94" s="14">
        <v>0</v>
      </c>
      <c r="CQ94" s="14"/>
      <c r="CR94" s="14">
        <v>0</v>
      </c>
      <c r="CS94" s="14"/>
      <c r="CT94" s="14">
        <v>1500</v>
      </c>
      <c r="CU94" s="14">
        <f t="shared" si="76"/>
        <v>1500</v>
      </c>
      <c r="CV94" s="14">
        <f t="shared" si="77"/>
        <v>0</v>
      </c>
      <c r="CW94" s="14">
        <v>1711.55</v>
      </c>
      <c r="CX94" s="14">
        <f t="shared" si="62"/>
        <v>1711.55</v>
      </c>
      <c r="CY94" s="14">
        <f t="shared" si="63"/>
        <v>0</v>
      </c>
      <c r="CZ94" s="14">
        <v>1500</v>
      </c>
      <c r="DA94" s="14">
        <f t="shared" si="64"/>
        <v>1500</v>
      </c>
      <c r="DB94" s="14">
        <f t="shared" si="65"/>
        <v>0</v>
      </c>
      <c r="DC94" s="14">
        <v>5774.1</v>
      </c>
      <c r="DD94" s="14">
        <f t="shared" si="66"/>
        <v>5774.1</v>
      </c>
      <c r="DE94" s="14">
        <f t="shared" si="67"/>
        <v>0</v>
      </c>
      <c r="DF94" s="14">
        <v>82366.05</v>
      </c>
      <c r="DG94" s="14">
        <f t="shared" si="68"/>
        <v>82366.05</v>
      </c>
      <c r="DH94" s="14">
        <f t="shared" si="69"/>
        <v>0</v>
      </c>
      <c r="DI94" s="14">
        <v>0</v>
      </c>
      <c r="DJ94" s="14">
        <f>IFERROR(VLOOKUP(D94,#REF!,2,0),0)</f>
        <v>0</v>
      </c>
      <c r="DK94" s="14">
        <f t="shared" si="70"/>
        <v>0</v>
      </c>
      <c r="DL94" s="14">
        <v>85577.600000000006</v>
      </c>
      <c r="DM94" s="14">
        <v>1481300.53</v>
      </c>
      <c r="DN94" s="14">
        <v>6805.33</v>
      </c>
      <c r="DO94" s="14">
        <v>3913.6</v>
      </c>
      <c r="DP94" s="14">
        <v>0</v>
      </c>
      <c r="DQ94" s="14">
        <v>85577.600000000006</v>
      </c>
      <c r="DR94" s="14">
        <v>28</v>
      </c>
      <c r="DS94" s="14">
        <v>0</v>
      </c>
      <c r="DT94" s="5" t="s">
        <v>206</v>
      </c>
      <c r="DU94" s="5" t="s">
        <v>195</v>
      </c>
      <c r="DV94" s="5" t="s">
        <v>196</v>
      </c>
      <c r="DW94" s="5" t="s">
        <v>197</v>
      </c>
    </row>
    <row r="95" spans="1:127" ht="16.5">
      <c r="A95" s="5" t="s">
        <v>184</v>
      </c>
      <c r="B95" s="5" t="s">
        <v>147</v>
      </c>
      <c r="C95" s="5" t="s">
        <v>148</v>
      </c>
      <c r="D95" s="5" t="s">
        <v>730</v>
      </c>
      <c r="E95" s="5" t="e">
        <f>VLOOKUP(D95,#REF!,1,0)</f>
        <v>#REF!</v>
      </c>
      <c r="F95" s="5" t="s">
        <v>369</v>
      </c>
      <c r="G95" s="5" t="s">
        <v>731</v>
      </c>
      <c r="H95" s="5" t="str">
        <f t="shared" si="45"/>
        <v>Chun Ming Chan</v>
      </c>
      <c r="I95" s="5" t="e">
        <f>VLOOKUP(D95,#REF!,9,0)</f>
        <v>#REF!</v>
      </c>
      <c r="J95" s="5" t="e">
        <f t="shared" si="46"/>
        <v>#REF!</v>
      </c>
      <c r="K95" s="5" t="s">
        <v>732</v>
      </c>
      <c r="L95" s="5" t="s">
        <v>151</v>
      </c>
      <c r="M95" s="5" t="s">
        <v>733</v>
      </c>
      <c r="N95" s="10" t="e">
        <f>VLOOKUP(D95,#REF!,80,0)</f>
        <v>#REF!</v>
      </c>
      <c r="O95" s="11" t="e">
        <f t="shared" si="47"/>
        <v>#REF!</v>
      </c>
      <c r="P95" s="5" t="s">
        <v>471</v>
      </c>
      <c r="Q95" s="5" t="e">
        <f>VLOOKUP(D95,#REF!,50,0)</f>
        <v>#REF!</v>
      </c>
      <c r="R95" s="5" t="e">
        <f t="shared" si="48"/>
        <v>#REF!</v>
      </c>
      <c r="S95" s="5" t="s">
        <v>734</v>
      </c>
      <c r="T95" s="5" t="e">
        <f>VLOOKUP(D95,#REF!,21,0)</f>
        <v>#REF!</v>
      </c>
      <c r="U95" s="5" t="e">
        <f t="shared" si="49"/>
        <v>#REF!</v>
      </c>
      <c r="V95" s="5" t="s">
        <v>473</v>
      </c>
      <c r="W95" s="5" t="e">
        <f>VLOOKUP(D95,#REF!,51,0)</f>
        <v>#REF!</v>
      </c>
      <c r="X95" s="5" t="e">
        <f t="shared" si="50"/>
        <v>#REF!</v>
      </c>
      <c r="Y95" s="5" t="s">
        <v>192</v>
      </c>
      <c r="Z95" s="5" t="s">
        <v>193</v>
      </c>
      <c r="AA95" s="14">
        <v>3.94</v>
      </c>
      <c r="AB95" s="14">
        <v>47850</v>
      </c>
      <c r="AC95" s="14" t="e">
        <f>ROUND(VLOOKUP(D95,#REF!,59,0),0)</f>
        <v>#REF!</v>
      </c>
      <c r="AD95" s="14" t="e">
        <f t="shared" si="73"/>
        <v>#REF!</v>
      </c>
      <c r="AE95" s="14">
        <v>47850</v>
      </c>
      <c r="AF95" s="14">
        <f t="shared" si="74"/>
        <v>47850</v>
      </c>
      <c r="AG95" s="14">
        <f t="shared" si="75"/>
        <v>0</v>
      </c>
      <c r="AH95" s="14">
        <v>0</v>
      </c>
      <c r="AI95" s="14"/>
      <c r="AJ95" s="14"/>
      <c r="AK95" s="14">
        <v>0</v>
      </c>
      <c r="AL95" s="14"/>
      <c r="AM95" s="14"/>
      <c r="AN95" s="14">
        <v>0</v>
      </c>
      <c r="AO95" s="14">
        <v>0</v>
      </c>
      <c r="AP95" s="14">
        <f>IFERROR(VLOOKUP('Feb for check'!D95,#REF!,15,0),0)</f>
        <v>0</v>
      </c>
      <c r="AQ95" s="14">
        <f t="shared" si="51"/>
        <v>0</v>
      </c>
      <c r="AR95" s="14">
        <v>0</v>
      </c>
      <c r="AS95" s="14">
        <f t="shared" si="52"/>
        <v>0</v>
      </c>
      <c r="AT95" s="14">
        <f t="shared" si="53"/>
        <v>0</v>
      </c>
      <c r="AU95" s="14">
        <v>0</v>
      </c>
      <c r="AV95" s="14"/>
      <c r="AW95" s="14">
        <v>0</v>
      </c>
      <c r="AX95" s="14"/>
      <c r="AY95" s="14">
        <v>0</v>
      </c>
      <c r="AZ95" s="14"/>
      <c r="BA95" s="14">
        <v>501.6</v>
      </c>
      <c r="BB95" s="14">
        <f>IFERROR(VLOOKUP(D95,#REF!,2,0),0)</f>
        <v>0</v>
      </c>
      <c r="BC95" s="14" t="e">
        <f>MAX(VLOOKUP(D95,#REF!,13,0)-VLOOKUP(D95,#REF!,14,0),0)</f>
        <v>#REF!</v>
      </c>
      <c r="BD95" s="14">
        <f>IFERROR(VLOOKUP(D95,#REF!,3,0),0)</f>
        <v>0</v>
      </c>
      <c r="BE95" s="14" t="e">
        <f>MAX(VLOOKUP(D95,#REF!,22,0)-VLOOKUP(D95,#REF!,23,0),0)</f>
        <v>#REF!</v>
      </c>
      <c r="BF95" s="14" t="e">
        <f t="shared" si="54"/>
        <v>#REF!</v>
      </c>
      <c r="BG95" s="14" t="e">
        <f t="shared" si="55"/>
        <v>#REF!</v>
      </c>
      <c r="BH95" s="14">
        <v>0</v>
      </c>
      <c r="BI95" s="14"/>
      <c r="BJ95" s="14"/>
      <c r="BK95" s="14">
        <v>459</v>
      </c>
      <c r="BL95" s="14">
        <f t="shared" si="56"/>
        <v>459</v>
      </c>
      <c r="BM95" s="14">
        <f t="shared" si="57"/>
        <v>0</v>
      </c>
      <c r="BN95" s="14">
        <v>0</v>
      </c>
      <c r="BO95" s="14"/>
      <c r="BP95" s="14"/>
      <c r="BQ95" s="14"/>
      <c r="BR95" s="14">
        <v>0</v>
      </c>
      <c r="BS95" s="14"/>
      <c r="BT95" s="14">
        <v>0</v>
      </c>
      <c r="BU95" s="14"/>
      <c r="BV95" s="14">
        <v>0</v>
      </c>
      <c r="BW95" s="14"/>
      <c r="BX95" s="14">
        <v>48810.6</v>
      </c>
      <c r="BY95" s="14">
        <f t="shared" si="58"/>
        <v>48810.6</v>
      </c>
      <c r="BZ95" s="14">
        <f t="shared" si="59"/>
        <v>0</v>
      </c>
      <c r="CA95" s="14">
        <v>48351.6</v>
      </c>
      <c r="CB95" s="14">
        <f t="shared" si="60"/>
        <v>48351.6</v>
      </c>
      <c r="CC95" s="14">
        <f t="shared" si="61"/>
        <v>0</v>
      </c>
      <c r="CD95" s="14">
        <v>0</v>
      </c>
      <c r="CE95" s="14"/>
      <c r="CF95" s="14"/>
      <c r="CG95" s="14">
        <v>0</v>
      </c>
      <c r="CH95" s="14"/>
      <c r="CI95" s="14">
        <v>1573.1505999999999</v>
      </c>
      <c r="CJ95" s="14">
        <v>0</v>
      </c>
      <c r="CK95" s="14"/>
      <c r="CL95" s="14">
        <v>0</v>
      </c>
      <c r="CM95" s="14">
        <v>7.4999999999999997E-2</v>
      </c>
      <c r="CN95" s="14">
        <v>0</v>
      </c>
      <c r="CO95" s="14">
        <v>0</v>
      </c>
      <c r="CP95" s="14">
        <v>0</v>
      </c>
      <c r="CQ95" s="14"/>
      <c r="CR95" s="14">
        <v>0</v>
      </c>
      <c r="CS95" s="14"/>
      <c r="CT95" s="14">
        <v>1500</v>
      </c>
      <c r="CU95" s="14">
        <f t="shared" si="76"/>
        <v>1500</v>
      </c>
      <c r="CV95" s="14">
        <f t="shared" si="77"/>
        <v>0</v>
      </c>
      <c r="CW95" s="14">
        <v>0</v>
      </c>
      <c r="CX95" s="14">
        <f t="shared" si="62"/>
        <v>0</v>
      </c>
      <c r="CY95" s="14">
        <f t="shared" si="63"/>
        <v>0</v>
      </c>
      <c r="CZ95" s="14">
        <v>1500</v>
      </c>
      <c r="DA95" s="14">
        <f t="shared" si="64"/>
        <v>1500</v>
      </c>
      <c r="DB95" s="14">
        <f t="shared" si="65"/>
        <v>0</v>
      </c>
      <c r="DC95" s="14">
        <v>2126.37</v>
      </c>
      <c r="DD95" s="14">
        <f t="shared" si="66"/>
        <v>2126.37</v>
      </c>
      <c r="DE95" s="14">
        <f t="shared" si="67"/>
        <v>0</v>
      </c>
      <c r="DF95" s="14">
        <v>47310.6</v>
      </c>
      <c r="DG95" s="14">
        <f t="shared" si="68"/>
        <v>47310.6</v>
      </c>
      <c r="DH95" s="14">
        <f t="shared" si="69"/>
        <v>0</v>
      </c>
      <c r="DI95" s="14">
        <v>2237.92</v>
      </c>
      <c r="DJ95" s="14">
        <f>IFERROR(VLOOKUP(D95,#REF!,2,0),0)</f>
        <v>0</v>
      </c>
      <c r="DK95" s="14">
        <f t="shared" si="70"/>
        <v>-2237.92</v>
      </c>
      <c r="DL95" s="14">
        <v>48810.6</v>
      </c>
      <c r="DM95" s="14">
        <v>802549.15</v>
      </c>
      <c r="DN95" s="14">
        <v>3987.5</v>
      </c>
      <c r="DO95" s="14">
        <v>501.6</v>
      </c>
      <c r="DP95" s="14">
        <v>0</v>
      </c>
      <c r="DQ95" s="14">
        <v>48351.6</v>
      </c>
      <c r="DR95" s="14">
        <v>28</v>
      </c>
      <c r="DS95" s="14">
        <v>0</v>
      </c>
      <c r="DT95" s="5" t="s">
        <v>206</v>
      </c>
      <c r="DU95" s="5" t="s">
        <v>195</v>
      </c>
      <c r="DV95" s="5" t="s">
        <v>196</v>
      </c>
      <c r="DW95" s="5" t="s">
        <v>197</v>
      </c>
    </row>
    <row r="96" spans="1:127" ht="16.5">
      <c r="A96" s="5" t="s">
        <v>184</v>
      </c>
      <c r="B96" s="5" t="s">
        <v>147</v>
      </c>
      <c r="C96" s="5" t="s">
        <v>148</v>
      </c>
      <c r="D96" s="5" t="s">
        <v>735</v>
      </c>
      <c r="E96" s="5" t="e">
        <f>VLOOKUP(D96,#REF!,1,0)</f>
        <v>#REF!</v>
      </c>
      <c r="F96" s="5" t="s">
        <v>264</v>
      </c>
      <c r="G96" s="5" t="s">
        <v>736</v>
      </c>
      <c r="H96" s="5" t="str">
        <f t="shared" si="45"/>
        <v>Angie Yuen Man Wong</v>
      </c>
      <c r="I96" s="5" t="e">
        <f>VLOOKUP(D96,#REF!,9,0)</f>
        <v>#REF!</v>
      </c>
      <c r="J96" s="5" t="e">
        <f t="shared" si="46"/>
        <v>#REF!</v>
      </c>
      <c r="K96" s="5" t="s">
        <v>737</v>
      </c>
      <c r="L96" s="5" t="s">
        <v>151</v>
      </c>
      <c r="M96" s="5" t="s">
        <v>738</v>
      </c>
      <c r="N96" s="10" t="e">
        <f>VLOOKUP(D96,#REF!,80,0)</f>
        <v>#REF!</v>
      </c>
      <c r="O96" s="11" t="e">
        <f t="shared" si="47"/>
        <v>#REF!</v>
      </c>
      <c r="P96" s="5" t="s">
        <v>203</v>
      </c>
      <c r="Q96" s="5" t="e">
        <f>VLOOKUP(D96,#REF!,50,0)</f>
        <v>#REF!</v>
      </c>
      <c r="R96" s="5" t="e">
        <f t="shared" si="48"/>
        <v>#REF!</v>
      </c>
      <c r="S96" s="5" t="s">
        <v>204</v>
      </c>
      <c r="T96" s="5" t="e">
        <f>VLOOKUP(D96,#REF!,21,0)</f>
        <v>#REF!</v>
      </c>
      <c r="U96" s="5" t="e">
        <f t="shared" si="49"/>
        <v>#REF!</v>
      </c>
      <c r="V96" s="5" t="s">
        <v>205</v>
      </c>
      <c r="W96" s="5" t="e">
        <f>VLOOKUP(D96,#REF!,51,0)</f>
        <v>#REF!</v>
      </c>
      <c r="X96" s="5" t="e">
        <f t="shared" si="50"/>
        <v>#REF!</v>
      </c>
      <c r="Y96" s="5" t="s">
        <v>192</v>
      </c>
      <c r="Z96" s="5" t="s">
        <v>193</v>
      </c>
      <c r="AA96" s="14">
        <v>0.43</v>
      </c>
      <c r="AB96" s="14">
        <v>37000</v>
      </c>
      <c r="AC96" s="14" t="e">
        <f>ROUND(VLOOKUP(D96,#REF!,59,0),0)</f>
        <v>#REF!</v>
      </c>
      <c r="AD96" s="14" t="e">
        <f t="shared" si="73"/>
        <v>#REF!</v>
      </c>
      <c r="AE96" s="14">
        <v>37000</v>
      </c>
      <c r="AF96" s="14">
        <f t="shared" si="74"/>
        <v>37000</v>
      </c>
      <c r="AG96" s="14">
        <f t="shared" si="75"/>
        <v>0</v>
      </c>
      <c r="AH96" s="14">
        <v>0</v>
      </c>
      <c r="AI96" s="14"/>
      <c r="AJ96" s="14"/>
      <c r="AK96" s="14">
        <v>0</v>
      </c>
      <c r="AL96" s="14"/>
      <c r="AM96" s="14"/>
      <c r="AN96" s="14">
        <v>0</v>
      </c>
      <c r="AO96" s="14">
        <v>0</v>
      </c>
      <c r="AP96" s="14">
        <f>IFERROR(VLOOKUP('Feb for check'!D96,#REF!,15,0),0)</f>
        <v>0</v>
      </c>
      <c r="AQ96" s="14">
        <f t="shared" si="51"/>
        <v>0</v>
      </c>
      <c r="AR96" s="14">
        <v>0</v>
      </c>
      <c r="AS96" s="14">
        <f t="shared" si="52"/>
        <v>0</v>
      </c>
      <c r="AT96" s="14">
        <f t="shared" si="53"/>
        <v>0</v>
      </c>
      <c r="AU96" s="14">
        <v>0</v>
      </c>
      <c r="AV96" s="14"/>
      <c r="AW96" s="14">
        <v>0</v>
      </c>
      <c r="AX96" s="14"/>
      <c r="AY96" s="14">
        <v>0</v>
      </c>
      <c r="AZ96" s="14"/>
      <c r="BA96" s="14">
        <v>15.3</v>
      </c>
      <c r="BB96" s="14">
        <f>IFERROR(VLOOKUP(D96,#REF!,2,0),0)</f>
        <v>0</v>
      </c>
      <c r="BC96" s="14" t="e">
        <f>MAX(VLOOKUP(D96,#REF!,13,0)-VLOOKUP(D96,#REF!,14,0),0)</f>
        <v>#REF!</v>
      </c>
      <c r="BD96" s="14">
        <f>IFERROR(VLOOKUP(D96,#REF!,3,0),0)</f>
        <v>0</v>
      </c>
      <c r="BE96" s="14" t="e">
        <f>MAX(VLOOKUP(D96,#REF!,22,0)-VLOOKUP(D96,#REF!,23,0),0)</f>
        <v>#REF!</v>
      </c>
      <c r="BF96" s="14" t="e">
        <f t="shared" si="54"/>
        <v>#REF!</v>
      </c>
      <c r="BG96" s="14" t="e">
        <f t="shared" si="55"/>
        <v>#REF!</v>
      </c>
      <c r="BH96" s="14">
        <v>0</v>
      </c>
      <c r="BI96" s="14"/>
      <c r="BJ96" s="14"/>
      <c r="BK96" s="14">
        <v>0</v>
      </c>
      <c r="BL96" s="14">
        <f t="shared" si="56"/>
        <v>0</v>
      </c>
      <c r="BM96" s="14">
        <f t="shared" si="57"/>
        <v>0</v>
      </c>
      <c r="BN96" s="14">
        <v>0</v>
      </c>
      <c r="BO96" s="14"/>
      <c r="BP96" s="14"/>
      <c r="BQ96" s="14"/>
      <c r="BR96" s="14">
        <v>0</v>
      </c>
      <c r="BS96" s="14"/>
      <c r="BT96" s="14">
        <v>0</v>
      </c>
      <c r="BU96" s="14"/>
      <c r="BV96" s="14">
        <v>0</v>
      </c>
      <c r="BW96" s="14"/>
      <c r="BX96" s="14">
        <v>37015.300000000003</v>
      </c>
      <c r="BY96" s="14">
        <f t="shared" si="58"/>
        <v>37015.300000000003</v>
      </c>
      <c r="BZ96" s="14">
        <f t="shared" si="59"/>
        <v>0</v>
      </c>
      <c r="CA96" s="14">
        <v>37015.300000000003</v>
      </c>
      <c r="CB96" s="14">
        <f t="shared" si="60"/>
        <v>37015.300000000003</v>
      </c>
      <c r="CC96" s="14">
        <f t="shared" si="61"/>
        <v>0</v>
      </c>
      <c r="CD96" s="14">
        <v>0</v>
      </c>
      <c r="CE96" s="14"/>
      <c r="CF96" s="14"/>
      <c r="CG96" s="14">
        <v>0</v>
      </c>
      <c r="CH96" s="14"/>
      <c r="CI96" s="14">
        <v>1216.4383</v>
      </c>
      <c r="CJ96" s="14">
        <v>0</v>
      </c>
      <c r="CK96" s="14"/>
      <c r="CL96" s="14">
        <v>0</v>
      </c>
      <c r="CM96" s="14">
        <v>7.4999999999999997E-2</v>
      </c>
      <c r="CN96" s="14">
        <v>0</v>
      </c>
      <c r="CO96" s="14">
        <v>0</v>
      </c>
      <c r="CP96" s="14">
        <v>0</v>
      </c>
      <c r="CQ96" s="14"/>
      <c r="CR96" s="14">
        <v>0</v>
      </c>
      <c r="CS96" s="14"/>
      <c r="CT96" s="14">
        <v>1500</v>
      </c>
      <c r="CU96" s="14">
        <f t="shared" si="76"/>
        <v>1500</v>
      </c>
      <c r="CV96" s="14">
        <f t="shared" si="77"/>
        <v>0</v>
      </c>
      <c r="CW96" s="14">
        <v>0</v>
      </c>
      <c r="CX96" s="14">
        <f t="shared" si="62"/>
        <v>0</v>
      </c>
      <c r="CY96" s="14">
        <f t="shared" si="63"/>
        <v>0</v>
      </c>
      <c r="CZ96" s="14">
        <v>1500</v>
      </c>
      <c r="DA96" s="14">
        <f t="shared" si="64"/>
        <v>1500</v>
      </c>
      <c r="DB96" s="14">
        <f t="shared" si="65"/>
        <v>0</v>
      </c>
      <c r="DC96" s="14">
        <v>1276.1500000000001</v>
      </c>
      <c r="DD96" s="14">
        <f t="shared" si="66"/>
        <v>1276.1500000000001</v>
      </c>
      <c r="DE96" s="14">
        <f t="shared" si="67"/>
        <v>0</v>
      </c>
      <c r="DF96" s="14">
        <v>35515.300000000003</v>
      </c>
      <c r="DG96" s="14">
        <f t="shared" si="68"/>
        <v>35515.300000000003</v>
      </c>
      <c r="DH96" s="14">
        <f t="shared" si="69"/>
        <v>0</v>
      </c>
      <c r="DI96" s="14">
        <v>0</v>
      </c>
      <c r="DJ96" s="14">
        <f>IFERROR(VLOOKUP(D96,#REF!,2,0),0)</f>
        <v>0</v>
      </c>
      <c r="DK96" s="14">
        <f t="shared" si="70"/>
        <v>0</v>
      </c>
      <c r="DL96" s="14">
        <v>37015.300000000003</v>
      </c>
      <c r="DM96" s="14">
        <v>204149.33</v>
      </c>
      <c r="DN96" s="14">
        <v>3083.33</v>
      </c>
      <c r="DO96" s="14">
        <v>15.3</v>
      </c>
      <c r="DP96" s="14">
        <v>0</v>
      </c>
      <c r="DQ96" s="14">
        <v>37015.300000000003</v>
      </c>
      <c r="DR96" s="14">
        <v>28</v>
      </c>
      <c r="DS96" s="14">
        <v>0</v>
      </c>
      <c r="DT96" s="5" t="s">
        <v>206</v>
      </c>
      <c r="DU96" s="5" t="s">
        <v>195</v>
      </c>
      <c r="DV96" s="5" t="s">
        <v>196</v>
      </c>
      <c r="DW96" s="5" t="s">
        <v>197</v>
      </c>
    </row>
    <row r="97" spans="1:127" ht="16.5">
      <c r="A97" s="5" t="s">
        <v>184</v>
      </c>
      <c r="B97" s="5" t="s">
        <v>147</v>
      </c>
      <c r="C97" s="5" t="s">
        <v>148</v>
      </c>
      <c r="D97" s="5" t="s">
        <v>739</v>
      </c>
      <c r="E97" s="5" t="e">
        <f>VLOOKUP(D97,#REF!,1,0)</f>
        <v>#REF!</v>
      </c>
      <c r="F97" s="5" t="s">
        <v>187</v>
      </c>
      <c r="G97" s="5" t="s">
        <v>740</v>
      </c>
      <c r="H97" s="5" t="str">
        <f t="shared" si="45"/>
        <v>Wai Man Anita Wu</v>
      </c>
      <c r="I97" s="5" t="e">
        <f>VLOOKUP(D97,#REF!,9,0)</f>
        <v>#REF!</v>
      </c>
      <c r="J97" s="5" t="e">
        <f t="shared" si="46"/>
        <v>#REF!</v>
      </c>
      <c r="K97" s="5" t="s">
        <v>741</v>
      </c>
      <c r="L97" s="5" t="s">
        <v>151</v>
      </c>
      <c r="M97" s="5" t="s">
        <v>742</v>
      </c>
      <c r="N97" s="10" t="e">
        <f>VLOOKUP(D97,#REF!,80,0)</f>
        <v>#REF!</v>
      </c>
      <c r="O97" s="11" t="e">
        <f t="shared" si="47"/>
        <v>#REF!</v>
      </c>
      <c r="P97" s="5" t="s">
        <v>218</v>
      </c>
      <c r="Q97" s="5" t="e">
        <f>VLOOKUP(D97,#REF!,50,0)</f>
        <v>#REF!</v>
      </c>
      <c r="R97" s="5" t="e">
        <f t="shared" si="48"/>
        <v>#REF!</v>
      </c>
      <c r="S97" s="5" t="s">
        <v>743</v>
      </c>
      <c r="T97" s="5" t="e">
        <f>VLOOKUP(D97,#REF!,21,0)</f>
        <v>#REF!</v>
      </c>
      <c r="U97" s="5" t="e">
        <f t="shared" si="49"/>
        <v>#REF!</v>
      </c>
      <c r="V97" s="5" t="s">
        <v>220</v>
      </c>
      <c r="W97" s="5" t="e">
        <f>VLOOKUP(D97,#REF!,51,0)</f>
        <v>#REF!</v>
      </c>
      <c r="X97" s="5" t="e">
        <f t="shared" si="50"/>
        <v>#REF!</v>
      </c>
      <c r="Y97" s="5" t="s">
        <v>192</v>
      </c>
      <c r="Z97" s="5" t="s">
        <v>193</v>
      </c>
      <c r="AA97" s="14">
        <v>16.34</v>
      </c>
      <c r="AB97" s="14">
        <v>55276</v>
      </c>
      <c r="AC97" s="14" t="e">
        <f>ROUND(VLOOKUP(D97,#REF!,59,0),0)</f>
        <v>#REF!</v>
      </c>
      <c r="AD97" s="14" t="e">
        <f t="shared" si="73"/>
        <v>#REF!</v>
      </c>
      <c r="AE97" s="14">
        <v>55276</v>
      </c>
      <c r="AF97" s="14">
        <f t="shared" si="74"/>
        <v>55276</v>
      </c>
      <c r="AG97" s="14">
        <f t="shared" si="75"/>
        <v>0</v>
      </c>
      <c r="AH97" s="14">
        <v>0</v>
      </c>
      <c r="AI97" s="14"/>
      <c r="AJ97" s="14"/>
      <c r="AK97" s="14">
        <v>0</v>
      </c>
      <c r="AL97" s="14"/>
      <c r="AM97" s="14"/>
      <c r="AN97" s="14">
        <v>0</v>
      </c>
      <c r="AO97" s="14">
        <v>0</v>
      </c>
      <c r="AP97" s="14">
        <f>IFERROR(VLOOKUP('Feb for check'!D97,#REF!,15,0),0)</f>
        <v>0</v>
      </c>
      <c r="AQ97" s="14">
        <f t="shared" si="51"/>
        <v>0</v>
      </c>
      <c r="AR97" s="14">
        <v>0</v>
      </c>
      <c r="AS97" s="14">
        <f t="shared" si="52"/>
        <v>0</v>
      </c>
      <c r="AT97" s="14">
        <f t="shared" si="53"/>
        <v>0</v>
      </c>
      <c r="AU97" s="14">
        <v>0</v>
      </c>
      <c r="AV97" s="14"/>
      <c r="AW97" s="14">
        <v>0</v>
      </c>
      <c r="AX97" s="14"/>
      <c r="AY97" s="14">
        <v>0</v>
      </c>
      <c r="AZ97" s="14"/>
      <c r="BA97" s="14">
        <v>0</v>
      </c>
      <c r="BB97" s="14">
        <f>IFERROR(VLOOKUP(D97,#REF!,2,0),0)</f>
        <v>0</v>
      </c>
      <c r="BC97" s="14" t="e">
        <f>MAX(VLOOKUP(D97,#REF!,13,0)-VLOOKUP(D97,#REF!,14,0),0)</f>
        <v>#REF!</v>
      </c>
      <c r="BD97" s="14">
        <f>IFERROR(VLOOKUP(D97,#REF!,3,0),0)</f>
        <v>0</v>
      </c>
      <c r="BE97" s="14" t="e">
        <f>MAX(VLOOKUP(D97,#REF!,22,0)-VLOOKUP(D97,#REF!,23,0),0)</f>
        <v>#REF!</v>
      </c>
      <c r="BF97" s="14" t="e">
        <f t="shared" si="54"/>
        <v>#REF!</v>
      </c>
      <c r="BG97" s="14" t="e">
        <f t="shared" si="55"/>
        <v>#REF!</v>
      </c>
      <c r="BH97" s="14">
        <v>0</v>
      </c>
      <c r="BI97" s="14"/>
      <c r="BJ97" s="14"/>
      <c r="BK97" s="14">
        <v>514</v>
      </c>
      <c r="BL97" s="14">
        <f t="shared" si="56"/>
        <v>514</v>
      </c>
      <c r="BM97" s="14">
        <f t="shared" si="57"/>
        <v>0</v>
      </c>
      <c r="BN97" s="14">
        <v>0</v>
      </c>
      <c r="BO97" s="14"/>
      <c r="BP97" s="14"/>
      <c r="BQ97" s="14"/>
      <c r="BR97" s="14">
        <v>0</v>
      </c>
      <c r="BS97" s="14"/>
      <c r="BT97" s="14">
        <v>0</v>
      </c>
      <c r="BU97" s="14"/>
      <c r="BV97" s="14">
        <v>0</v>
      </c>
      <c r="BW97" s="14"/>
      <c r="BX97" s="14">
        <v>55790</v>
      </c>
      <c r="BY97" s="14">
        <f t="shared" si="58"/>
        <v>55790</v>
      </c>
      <c r="BZ97" s="14">
        <f t="shared" si="59"/>
        <v>0</v>
      </c>
      <c r="CA97" s="14">
        <v>55276</v>
      </c>
      <c r="CB97" s="14">
        <f t="shared" si="60"/>
        <v>55276</v>
      </c>
      <c r="CC97" s="14">
        <f t="shared" si="61"/>
        <v>0</v>
      </c>
      <c r="CD97" s="14">
        <v>0</v>
      </c>
      <c r="CE97" s="14"/>
      <c r="CF97" s="14"/>
      <c r="CG97" s="14">
        <v>0</v>
      </c>
      <c r="CH97" s="14"/>
      <c r="CI97" s="14">
        <v>1817.2931000000001</v>
      </c>
      <c r="CJ97" s="14">
        <v>0</v>
      </c>
      <c r="CK97" s="14"/>
      <c r="CL97" s="14">
        <v>0.1</v>
      </c>
      <c r="CM97" s="14">
        <v>0.1</v>
      </c>
      <c r="CN97" s="14">
        <v>0</v>
      </c>
      <c r="CO97" s="14">
        <v>0</v>
      </c>
      <c r="CP97" s="14">
        <v>0</v>
      </c>
      <c r="CQ97" s="14"/>
      <c r="CR97" s="14">
        <v>0</v>
      </c>
      <c r="CS97" s="14"/>
      <c r="CT97" s="14">
        <v>1500</v>
      </c>
      <c r="CU97" s="14">
        <f t="shared" si="76"/>
        <v>1500</v>
      </c>
      <c r="CV97" s="14">
        <f t="shared" si="77"/>
        <v>0</v>
      </c>
      <c r="CW97" s="14">
        <v>0</v>
      </c>
      <c r="CX97" s="14">
        <f t="shared" si="62"/>
        <v>0</v>
      </c>
      <c r="CY97" s="14">
        <f t="shared" si="63"/>
        <v>0</v>
      </c>
      <c r="CZ97" s="14">
        <v>1500</v>
      </c>
      <c r="DA97" s="14">
        <f t="shared" si="64"/>
        <v>1500</v>
      </c>
      <c r="DB97" s="14">
        <f t="shared" si="65"/>
        <v>0</v>
      </c>
      <c r="DC97" s="14">
        <v>4027.6</v>
      </c>
      <c r="DD97" s="14">
        <f t="shared" si="66"/>
        <v>4027.6</v>
      </c>
      <c r="DE97" s="14">
        <f t="shared" si="67"/>
        <v>0</v>
      </c>
      <c r="DF97" s="14">
        <v>54290</v>
      </c>
      <c r="DG97" s="14">
        <f t="shared" si="68"/>
        <v>54290</v>
      </c>
      <c r="DH97" s="14">
        <f t="shared" si="69"/>
        <v>0</v>
      </c>
      <c r="DI97" s="14">
        <v>2506.02</v>
      </c>
      <c r="DJ97" s="14">
        <f>IFERROR(VLOOKUP(D97,#REF!,2,0),0)</f>
        <v>0</v>
      </c>
      <c r="DK97" s="14">
        <f t="shared" si="70"/>
        <v>-2506.02</v>
      </c>
      <c r="DL97" s="14">
        <v>55790</v>
      </c>
      <c r="DM97" s="14">
        <v>808164.22</v>
      </c>
      <c r="DN97" s="14">
        <v>4606.33</v>
      </c>
      <c r="DO97" s="14">
        <v>0</v>
      </c>
      <c r="DP97" s="14">
        <v>0</v>
      </c>
      <c r="DQ97" s="14">
        <v>55276</v>
      </c>
      <c r="DR97" s="14">
        <v>28</v>
      </c>
      <c r="DS97" s="14">
        <v>0</v>
      </c>
      <c r="DT97" s="5" t="s">
        <v>206</v>
      </c>
      <c r="DU97" s="5" t="s">
        <v>195</v>
      </c>
      <c r="DV97" s="5" t="s">
        <v>196</v>
      </c>
      <c r="DW97" s="5" t="s">
        <v>197</v>
      </c>
    </row>
    <row r="98" spans="1:127" ht="16.5">
      <c r="A98" s="5" t="s">
        <v>184</v>
      </c>
      <c r="B98" s="5" t="s">
        <v>147</v>
      </c>
      <c r="C98" s="5" t="s">
        <v>148</v>
      </c>
      <c r="D98" s="5" t="s">
        <v>744</v>
      </c>
      <c r="E98" s="5" t="e">
        <f>VLOOKUP(D98,#REF!,1,0)</f>
        <v>#REF!</v>
      </c>
      <c r="F98" s="5" t="s">
        <v>208</v>
      </c>
      <c r="G98" s="5" t="s">
        <v>745</v>
      </c>
      <c r="H98" s="5" t="str">
        <f t="shared" si="45"/>
        <v>Carol Sin Kun Ho</v>
      </c>
      <c r="I98" s="5" t="e">
        <f>VLOOKUP(D98,#REF!,9,0)</f>
        <v>#REF!</v>
      </c>
      <c r="J98" s="5" t="e">
        <f t="shared" si="46"/>
        <v>#REF!</v>
      </c>
      <c r="K98" s="5" t="s">
        <v>746</v>
      </c>
      <c r="L98" s="5" t="s">
        <v>151</v>
      </c>
      <c r="M98" s="5" t="s">
        <v>287</v>
      </c>
      <c r="N98" s="10" t="e">
        <f>VLOOKUP(D98,#REF!,80,0)</f>
        <v>#REF!</v>
      </c>
      <c r="O98" s="11" t="e">
        <f t="shared" si="47"/>
        <v>#REF!</v>
      </c>
      <c r="P98" s="5" t="s">
        <v>203</v>
      </c>
      <c r="Q98" s="5" t="e">
        <f>VLOOKUP(D98,#REF!,50,0)</f>
        <v>#REF!</v>
      </c>
      <c r="R98" s="5" t="e">
        <f t="shared" si="48"/>
        <v>#REF!</v>
      </c>
      <c r="S98" s="5" t="s">
        <v>747</v>
      </c>
      <c r="T98" s="5" t="e">
        <f>VLOOKUP(D98,#REF!,21,0)</f>
        <v>#REF!</v>
      </c>
      <c r="U98" s="5" t="e">
        <f t="shared" si="49"/>
        <v>#REF!</v>
      </c>
      <c r="V98" s="5" t="s">
        <v>205</v>
      </c>
      <c r="W98" s="5" t="e">
        <f>VLOOKUP(D98,#REF!,51,0)</f>
        <v>#REF!</v>
      </c>
      <c r="X98" s="5" t="e">
        <f t="shared" si="50"/>
        <v>#REF!</v>
      </c>
      <c r="Y98" s="5" t="s">
        <v>192</v>
      </c>
      <c r="Z98" s="5" t="s">
        <v>193</v>
      </c>
      <c r="AA98" s="14">
        <v>0.8</v>
      </c>
      <c r="AB98" s="14">
        <v>32000</v>
      </c>
      <c r="AC98" s="14" t="e">
        <f>ROUND(VLOOKUP(D98,#REF!,59,0),0)</f>
        <v>#REF!</v>
      </c>
      <c r="AD98" s="14" t="e">
        <f t="shared" si="73"/>
        <v>#REF!</v>
      </c>
      <c r="AE98" s="14">
        <v>32000</v>
      </c>
      <c r="AF98" s="14">
        <f t="shared" si="74"/>
        <v>32000</v>
      </c>
      <c r="AG98" s="14">
        <f t="shared" si="75"/>
        <v>0</v>
      </c>
      <c r="AH98" s="14">
        <v>0</v>
      </c>
      <c r="AI98" s="14"/>
      <c r="AJ98" s="14"/>
      <c r="AK98" s="14">
        <v>0</v>
      </c>
      <c r="AL98" s="14"/>
      <c r="AM98" s="14"/>
      <c r="AN98" s="14">
        <v>0</v>
      </c>
      <c r="AO98" s="14">
        <v>0</v>
      </c>
      <c r="AP98" s="14">
        <f>IFERROR(VLOOKUP('Feb for check'!D98,#REF!,15,0),0)</f>
        <v>0</v>
      </c>
      <c r="AQ98" s="14">
        <f t="shared" si="51"/>
        <v>0</v>
      </c>
      <c r="AR98" s="14">
        <v>0</v>
      </c>
      <c r="AS98" s="14">
        <f t="shared" si="52"/>
        <v>0</v>
      </c>
      <c r="AT98" s="14">
        <f t="shared" si="53"/>
        <v>0</v>
      </c>
      <c r="AU98" s="14">
        <v>0</v>
      </c>
      <c r="AV98" s="14"/>
      <c r="AW98" s="14">
        <v>0</v>
      </c>
      <c r="AX98" s="14"/>
      <c r="AY98" s="14">
        <v>0</v>
      </c>
      <c r="AZ98" s="14"/>
      <c r="BA98" s="14">
        <v>0</v>
      </c>
      <c r="BB98" s="14">
        <f>IFERROR(VLOOKUP(D98,#REF!,2,0),0)</f>
        <v>0</v>
      </c>
      <c r="BC98" s="14" t="e">
        <f>MAX(VLOOKUP(D98,#REF!,13,0)-VLOOKUP(D98,#REF!,14,0),0)</f>
        <v>#REF!</v>
      </c>
      <c r="BD98" s="14">
        <f>IFERROR(VLOOKUP(D98,#REF!,3,0),0)</f>
        <v>0</v>
      </c>
      <c r="BE98" s="14" t="e">
        <f>MAX(VLOOKUP(D98,#REF!,22,0)-VLOOKUP(D98,#REF!,23,0),0)</f>
        <v>#REF!</v>
      </c>
      <c r="BF98" s="14" t="e">
        <f t="shared" si="54"/>
        <v>#REF!</v>
      </c>
      <c r="BG98" s="14" t="e">
        <f t="shared" si="55"/>
        <v>#REF!</v>
      </c>
      <c r="BH98" s="14">
        <v>0</v>
      </c>
      <c r="BI98" s="14"/>
      <c r="BJ98" s="14"/>
      <c r="BK98" s="14">
        <v>459</v>
      </c>
      <c r="BL98" s="14">
        <f t="shared" si="56"/>
        <v>459</v>
      </c>
      <c r="BM98" s="14">
        <f t="shared" si="57"/>
        <v>0</v>
      </c>
      <c r="BN98" s="14">
        <v>0</v>
      </c>
      <c r="BO98" s="14"/>
      <c r="BP98" s="14"/>
      <c r="BQ98" s="14"/>
      <c r="BR98" s="14">
        <v>0</v>
      </c>
      <c r="BS98" s="14"/>
      <c r="BT98" s="14">
        <v>0</v>
      </c>
      <c r="BU98" s="14"/>
      <c r="BV98" s="14">
        <v>0</v>
      </c>
      <c r="BW98" s="14"/>
      <c r="BX98" s="14">
        <v>32459</v>
      </c>
      <c r="BY98" s="14">
        <f t="shared" si="58"/>
        <v>32459</v>
      </c>
      <c r="BZ98" s="14">
        <f t="shared" si="59"/>
        <v>0</v>
      </c>
      <c r="CA98" s="14">
        <v>32000</v>
      </c>
      <c r="CB98" s="14">
        <f t="shared" si="60"/>
        <v>32000</v>
      </c>
      <c r="CC98" s="14">
        <f t="shared" si="61"/>
        <v>0</v>
      </c>
      <c r="CD98" s="14">
        <v>0</v>
      </c>
      <c r="CE98" s="14"/>
      <c r="CF98" s="14"/>
      <c r="CG98" s="14">
        <v>0</v>
      </c>
      <c r="CH98" s="14"/>
      <c r="CI98" s="14">
        <v>1052.0546999999999</v>
      </c>
      <c r="CJ98" s="14">
        <v>0</v>
      </c>
      <c r="CK98" s="14"/>
      <c r="CL98" s="14">
        <v>0</v>
      </c>
      <c r="CM98" s="14">
        <v>7.4999999999999997E-2</v>
      </c>
      <c r="CN98" s="14">
        <v>0</v>
      </c>
      <c r="CO98" s="14">
        <v>0</v>
      </c>
      <c r="CP98" s="14">
        <v>0</v>
      </c>
      <c r="CQ98" s="14"/>
      <c r="CR98" s="14">
        <v>0</v>
      </c>
      <c r="CS98" s="14"/>
      <c r="CT98" s="14">
        <v>1500</v>
      </c>
      <c r="CU98" s="14">
        <f t="shared" si="76"/>
        <v>1500</v>
      </c>
      <c r="CV98" s="14">
        <f t="shared" si="77"/>
        <v>0</v>
      </c>
      <c r="CW98" s="14">
        <v>0</v>
      </c>
      <c r="CX98" s="14">
        <f t="shared" si="62"/>
        <v>0</v>
      </c>
      <c r="CY98" s="14">
        <f t="shared" si="63"/>
        <v>0</v>
      </c>
      <c r="CZ98" s="14">
        <v>1500</v>
      </c>
      <c r="DA98" s="14">
        <f t="shared" si="64"/>
        <v>1500</v>
      </c>
      <c r="DB98" s="14">
        <f t="shared" si="65"/>
        <v>0</v>
      </c>
      <c r="DC98" s="14">
        <v>900</v>
      </c>
      <c r="DD98" s="14">
        <f t="shared" si="66"/>
        <v>900</v>
      </c>
      <c r="DE98" s="14">
        <f t="shared" si="67"/>
        <v>0</v>
      </c>
      <c r="DF98" s="14">
        <v>30959</v>
      </c>
      <c r="DG98" s="14">
        <f t="shared" si="68"/>
        <v>30959</v>
      </c>
      <c r="DH98" s="14">
        <f t="shared" si="69"/>
        <v>0</v>
      </c>
      <c r="DI98" s="14">
        <v>2237.92</v>
      </c>
      <c r="DJ98" s="14">
        <f>IFERROR(VLOOKUP(D98,#REF!,2,0),0)</f>
        <v>0</v>
      </c>
      <c r="DK98" s="14">
        <f t="shared" si="70"/>
        <v>-2237.92</v>
      </c>
      <c r="DL98" s="14">
        <v>32459</v>
      </c>
      <c r="DM98" s="14">
        <v>337459.9</v>
      </c>
      <c r="DN98" s="14">
        <v>2666.67</v>
      </c>
      <c r="DO98" s="14">
        <v>0</v>
      </c>
      <c r="DP98" s="14">
        <v>0</v>
      </c>
      <c r="DQ98" s="14">
        <v>32000</v>
      </c>
      <c r="DR98" s="14">
        <v>28</v>
      </c>
      <c r="DS98" s="14">
        <v>0</v>
      </c>
      <c r="DT98" s="5" t="s">
        <v>206</v>
      </c>
      <c r="DU98" s="5" t="s">
        <v>195</v>
      </c>
      <c r="DV98" s="5" t="s">
        <v>196</v>
      </c>
      <c r="DW98" s="5" t="s">
        <v>197</v>
      </c>
    </row>
    <row r="99" spans="1:127" ht="16.5">
      <c r="A99" s="5" t="s">
        <v>184</v>
      </c>
      <c r="B99" s="5" t="s">
        <v>147</v>
      </c>
      <c r="C99" s="5" t="s">
        <v>148</v>
      </c>
      <c r="D99" s="5" t="s">
        <v>748</v>
      </c>
      <c r="E99" s="5" t="e">
        <f>VLOOKUP(D99,#REF!,1,0)</f>
        <v>#REF!</v>
      </c>
      <c r="F99" s="5" t="s">
        <v>222</v>
      </c>
      <c r="G99" s="5" t="s">
        <v>749</v>
      </c>
      <c r="H99" s="5" t="str">
        <f t="shared" si="45"/>
        <v>Nicole Susanne Lam</v>
      </c>
      <c r="I99" s="5" t="e">
        <f>VLOOKUP(D99,#REF!,9,0)</f>
        <v>#REF!</v>
      </c>
      <c r="J99" s="5" t="e">
        <f t="shared" si="46"/>
        <v>#REF!</v>
      </c>
      <c r="K99" s="5" t="s">
        <v>750</v>
      </c>
      <c r="L99" s="5" t="s">
        <v>151</v>
      </c>
      <c r="M99" s="5" t="s">
        <v>516</v>
      </c>
      <c r="N99" s="10" t="e">
        <f>VLOOKUP(D99,#REF!,80,0)</f>
        <v>#REF!</v>
      </c>
      <c r="O99" s="11" t="e">
        <f t="shared" si="47"/>
        <v>#REF!</v>
      </c>
      <c r="P99" s="5" t="s">
        <v>203</v>
      </c>
      <c r="Q99" s="5" t="e">
        <f>VLOOKUP(D99,#REF!,50,0)</f>
        <v>#REF!</v>
      </c>
      <c r="R99" s="5" t="e">
        <f t="shared" si="48"/>
        <v>#REF!</v>
      </c>
      <c r="S99" s="5" t="s">
        <v>751</v>
      </c>
      <c r="T99" s="5" t="e">
        <f>VLOOKUP(D99,#REF!,21,0)</f>
        <v>#REF!</v>
      </c>
      <c r="U99" s="5" t="e">
        <f t="shared" si="49"/>
        <v>#REF!</v>
      </c>
      <c r="V99" s="5" t="s">
        <v>205</v>
      </c>
      <c r="W99" s="5" t="e">
        <f>VLOOKUP(D99,#REF!,51,0)</f>
        <v>#REF!</v>
      </c>
      <c r="X99" s="5" t="e">
        <f t="shared" si="50"/>
        <v>#REF!</v>
      </c>
      <c r="Y99" s="5" t="s">
        <v>192</v>
      </c>
      <c r="Z99" s="5" t="s">
        <v>193</v>
      </c>
      <c r="AA99" s="14">
        <v>2.15</v>
      </c>
      <c r="AB99" s="14">
        <v>34518</v>
      </c>
      <c r="AC99" s="14" t="e">
        <f>ROUND(VLOOKUP(D99,#REF!,59,0),0)</f>
        <v>#REF!</v>
      </c>
      <c r="AD99" s="14" t="e">
        <f t="shared" si="73"/>
        <v>#REF!</v>
      </c>
      <c r="AE99" s="14">
        <v>34518</v>
      </c>
      <c r="AF99" s="14">
        <f t="shared" si="74"/>
        <v>34518</v>
      </c>
      <c r="AG99" s="14">
        <f t="shared" si="75"/>
        <v>0</v>
      </c>
      <c r="AH99" s="14">
        <v>0</v>
      </c>
      <c r="AI99" s="14"/>
      <c r="AJ99" s="14"/>
      <c r="AK99" s="14">
        <v>0</v>
      </c>
      <c r="AL99" s="14"/>
      <c r="AM99" s="14"/>
      <c r="AN99" s="14">
        <v>0</v>
      </c>
      <c r="AO99" s="14">
        <v>0</v>
      </c>
      <c r="AP99" s="14">
        <f>IFERROR(VLOOKUP('Feb for check'!D99,#REF!,15,0),0)</f>
        <v>0</v>
      </c>
      <c r="AQ99" s="14">
        <f t="shared" si="51"/>
        <v>0</v>
      </c>
      <c r="AR99" s="14">
        <v>0</v>
      </c>
      <c r="AS99" s="14">
        <f t="shared" si="52"/>
        <v>0</v>
      </c>
      <c r="AT99" s="14">
        <f t="shared" si="53"/>
        <v>0</v>
      </c>
      <c r="AU99" s="14">
        <v>0</v>
      </c>
      <c r="AV99" s="14"/>
      <c r="AW99" s="14">
        <v>0</v>
      </c>
      <c r="AX99" s="14"/>
      <c r="AY99" s="14">
        <v>0</v>
      </c>
      <c r="AZ99" s="14"/>
      <c r="BA99" s="14">
        <v>0</v>
      </c>
      <c r="BB99" s="14">
        <f>IFERROR(VLOOKUP(D99,#REF!,2,0),0)</f>
        <v>0</v>
      </c>
      <c r="BC99" s="14" t="e">
        <f>MAX(VLOOKUP(D99,#REF!,13,0)-VLOOKUP(D99,#REF!,14,0),0)</f>
        <v>#REF!</v>
      </c>
      <c r="BD99" s="14">
        <f>IFERROR(VLOOKUP(D99,#REF!,3,0),0)</f>
        <v>0</v>
      </c>
      <c r="BE99" s="14" t="e">
        <f>MAX(VLOOKUP(D99,#REF!,22,0)-VLOOKUP(D99,#REF!,23,0),0)</f>
        <v>#REF!</v>
      </c>
      <c r="BF99" s="14" t="e">
        <f t="shared" si="54"/>
        <v>#REF!</v>
      </c>
      <c r="BG99" s="14" t="e">
        <f t="shared" si="55"/>
        <v>#REF!</v>
      </c>
      <c r="BH99" s="14">
        <v>0</v>
      </c>
      <c r="BI99" s="14"/>
      <c r="BJ99" s="14"/>
      <c r="BK99" s="14">
        <v>569</v>
      </c>
      <c r="BL99" s="14">
        <f t="shared" si="56"/>
        <v>569</v>
      </c>
      <c r="BM99" s="14">
        <f t="shared" si="57"/>
        <v>0</v>
      </c>
      <c r="BN99" s="14">
        <v>0</v>
      </c>
      <c r="BO99" s="14"/>
      <c r="BP99" s="14"/>
      <c r="BQ99" s="14"/>
      <c r="BR99" s="14">
        <v>8000</v>
      </c>
      <c r="BS99" s="14" t="e">
        <f>VLOOKUP(D99,#REF!,28,0)</f>
        <v>#REF!</v>
      </c>
      <c r="BT99" s="14">
        <v>0</v>
      </c>
      <c r="BU99" s="14"/>
      <c r="BV99" s="14">
        <v>0</v>
      </c>
      <c r="BW99" s="14"/>
      <c r="BX99" s="14">
        <v>43087</v>
      </c>
      <c r="BY99" s="14">
        <f t="shared" si="58"/>
        <v>43087</v>
      </c>
      <c r="BZ99" s="14">
        <f t="shared" si="59"/>
        <v>0</v>
      </c>
      <c r="CA99" s="14">
        <v>34518</v>
      </c>
      <c r="CB99" s="14">
        <f t="shared" si="60"/>
        <v>34518</v>
      </c>
      <c r="CC99" s="14">
        <f t="shared" si="61"/>
        <v>0</v>
      </c>
      <c r="CD99" s="14">
        <v>0</v>
      </c>
      <c r="CE99" s="14"/>
      <c r="CF99" s="14"/>
      <c r="CG99" s="14">
        <v>0</v>
      </c>
      <c r="CH99" s="14"/>
      <c r="CI99" s="14">
        <v>1134.8382999999999</v>
      </c>
      <c r="CJ99" s="14">
        <v>0</v>
      </c>
      <c r="CK99" s="14"/>
      <c r="CL99" s="14">
        <v>0</v>
      </c>
      <c r="CM99" s="14">
        <v>7.4999999999999997E-2</v>
      </c>
      <c r="CN99" s="14">
        <v>0</v>
      </c>
      <c r="CO99" s="14">
        <v>0</v>
      </c>
      <c r="CP99" s="14">
        <v>0</v>
      </c>
      <c r="CQ99" s="14"/>
      <c r="CR99" s="14">
        <v>0</v>
      </c>
      <c r="CS99" s="14"/>
      <c r="CT99" s="14">
        <v>1500</v>
      </c>
      <c r="CU99" s="14">
        <f t="shared" si="76"/>
        <v>1500</v>
      </c>
      <c r="CV99" s="14">
        <f t="shared" si="77"/>
        <v>0</v>
      </c>
      <c r="CW99" s="14">
        <v>0</v>
      </c>
      <c r="CX99" s="14">
        <f t="shared" si="62"/>
        <v>0</v>
      </c>
      <c r="CY99" s="14">
        <f t="shared" si="63"/>
        <v>0</v>
      </c>
      <c r="CZ99" s="14">
        <v>1500</v>
      </c>
      <c r="DA99" s="14">
        <f t="shared" si="64"/>
        <v>1500</v>
      </c>
      <c r="DB99" s="14">
        <f t="shared" si="65"/>
        <v>0</v>
      </c>
      <c r="DC99" s="14">
        <v>1088.8499999999999</v>
      </c>
      <c r="DD99" s="14">
        <f t="shared" si="66"/>
        <v>1088.8499999999999</v>
      </c>
      <c r="DE99" s="14">
        <f t="shared" si="67"/>
        <v>0</v>
      </c>
      <c r="DF99" s="14">
        <v>41587</v>
      </c>
      <c r="DG99" s="14">
        <f t="shared" si="68"/>
        <v>41587</v>
      </c>
      <c r="DH99" s="14">
        <f t="shared" si="69"/>
        <v>0</v>
      </c>
      <c r="DI99" s="14">
        <v>2774.13</v>
      </c>
      <c r="DJ99" s="14">
        <f>IFERROR(VLOOKUP(D99,#REF!,2,0),0)</f>
        <v>0</v>
      </c>
      <c r="DK99" s="14">
        <f t="shared" si="70"/>
        <v>-2774.13</v>
      </c>
      <c r="DL99" s="14">
        <v>43087</v>
      </c>
      <c r="DM99" s="14">
        <v>548563.96</v>
      </c>
      <c r="DN99" s="14">
        <v>2876.5</v>
      </c>
      <c r="DO99" s="14">
        <v>0</v>
      </c>
      <c r="DP99" s="14">
        <v>0</v>
      </c>
      <c r="DQ99" s="14">
        <v>34518</v>
      </c>
      <c r="DR99" s="14">
        <v>28</v>
      </c>
      <c r="DS99" s="14">
        <v>0</v>
      </c>
      <c r="DT99" s="5" t="s">
        <v>206</v>
      </c>
      <c r="DU99" s="5" t="s">
        <v>195</v>
      </c>
      <c r="DV99" s="5" t="s">
        <v>196</v>
      </c>
      <c r="DW99" s="5" t="s">
        <v>197</v>
      </c>
    </row>
    <row r="100" spans="1:127" ht="16.5">
      <c r="A100" s="5" t="s">
        <v>184</v>
      </c>
      <c r="B100" s="5" t="s">
        <v>147</v>
      </c>
      <c r="C100" s="5" t="s">
        <v>148</v>
      </c>
      <c r="D100" s="5" t="s">
        <v>752</v>
      </c>
      <c r="E100" s="5" t="e">
        <f>VLOOKUP(D100,#REF!,1,0)</f>
        <v>#REF!</v>
      </c>
      <c r="F100" s="5" t="s">
        <v>577</v>
      </c>
      <c r="G100" s="5" t="s">
        <v>753</v>
      </c>
      <c r="H100" s="5" t="str">
        <f t="shared" si="45"/>
        <v>Yeung Lam Ng</v>
      </c>
      <c r="I100" s="5" t="e">
        <f>VLOOKUP(D100,#REF!,9,0)</f>
        <v>#REF!</v>
      </c>
      <c r="J100" s="5" t="e">
        <f t="shared" si="46"/>
        <v>#REF!</v>
      </c>
      <c r="K100" s="5" t="s">
        <v>222</v>
      </c>
      <c r="L100" s="5" t="s">
        <v>151</v>
      </c>
      <c r="M100" s="5" t="s">
        <v>754</v>
      </c>
      <c r="N100" s="10" t="e">
        <f>VLOOKUP(D100,#REF!,80,0)</f>
        <v>#REF!</v>
      </c>
      <c r="O100" s="11" t="e">
        <f t="shared" si="47"/>
        <v>#REF!</v>
      </c>
      <c r="P100" s="5" t="s">
        <v>203</v>
      </c>
      <c r="Q100" s="5" t="e">
        <f>VLOOKUP(D100,#REF!,50,0)</f>
        <v>#REF!</v>
      </c>
      <c r="R100" s="5" t="e">
        <f t="shared" si="48"/>
        <v>#REF!</v>
      </c>
      <c r="S100" s="5" t="s">
        <v>661</v>
      </c>
      <c r="T100" s="5" t="e">
        <f>VLOOKUP(D100,#REF!,21,0)</f>
        <v>#REF!</v>
      </c>
      <c r="U100" s="5" t="e">
        <f t="shared" si="49"/>
        <v>#REF!</v>
      </c>
      <c r="V100" s="5" t="s">
        <v>205</v>
      </c>
      <c r="W100" s="5" t="e">
        <f>VLOOKUP(D100,#REF!,51,0)</f>
        <v>#REF!</v>
      </c>
      <c r="X100" s="5" t="e">
        <f t="shared" si="50"/>
        <v>#REF!</v>
      </c>
      <c r="Y100" s="5" t="s">
        <v>192</v>
      </c>
      <c r="Z100" s="5" t="s">
        <v>193</v>
      </c>
      <c r="AA100" s="14">
        <v>10.5</v>
      </c>
      <c r="AB100" s="14">
        <v>67850</v>
      </c>
      <c r="AC100" s="14" t="e">
        <f>ROUND(VLOOKUP(D100,#REF!,59,0),0)</f>
        <v>#REF!</v>
      </c>
      <c r="AD100" s="14" t="e">
        <f t="shared" si="73"/>
        <v>#REF!</v>
      </c>
      <c r="AE100" s="14">
        <v>67850</v>
      </c>
      <c r="AF100" s="14">
        <f t="shared" si="74"/>
        <v>67850</v>
      </c>
      <c r="AG100" s="14">
        <f t="shared" si="75"/>
        <v>0</v>
      </c>
      <c r="AH100" s="14">
        <v>0</v>
      </c>
      <c r="AI100" s="14"/>
      <c r="AJ100" s="14"/>
      <c r="AK100" s="14">
        <v>0</v>
      </c>
      <c r="AL100" s="14"/>
      <c r="AM100" s="14"/>
      <c r="AN100" s="14">
        <v>0</v>
      </c>
      <c r="AO100" s="14">
        <v>0</v>
      </c>
      <c r="AP100" s="14">
        <f>IFERROR(VLOOKUP('Feb for check'!D100,#REF!,15,0),0)</f>
        <v>0</v>
      </c>
      <c r="AQ100" s="14">
        <f t="shared" si="51"/>
        <v>0</v>
      </c>
      <c r="AR100" s="14">
        <v>0</v>
      </c>
      <c r="AS100" s="14">
        <f t="shared" si="52"/>
        <v>0</v>
      </c>
      <c r="AT100" s="14">
        <f t="shared" si="53"/>
        <v>0</v>
      </c>
      <c r="AU100" s="14">
        <v>0</v>
      </c>
      <c r="AV100" s="14"/>
      <c r="AW100" s="14">
        <v>0</v>
      </c>
      <c r="AX100" s="14"/>
      <c r="AY100" s="14">
        <v>0</v>
      </c>
      <c r="AZ100" s="14"/>
      <c r="BA100" s="14">
        <v>0</v>
      </c>
      <c r="BB100" s="14">
        <f>IFERROR(VLOOKUP(D100,#REF!,2,0),0)</f>
        <v>0</v>
      </c>
      <c r="BC100" s="14" t="e">
        <f>MAX(VLOOKUP(D100,#REF!,13,0)-VLOOKUP(D100,#REF!,14,0),0)</f>
        <v>#REF!</v>
      </c>
      <c r="BD100" s="14">
        <f>IFERROR(VLOOKUP(D100,#REF!,3,0),0)</f>
        <v>0</v>
      </c>
      <c r="BE100" s="14" t="e">
        <f>MAX(VLOOKUP(D100,#REF!,22,0)-VLOOKUP(D100,#REF!,23,0),0)</f>
        <v>#REF!</v>
      </c>
      <c r="BF100" s="14" t="e">
        <f t="shared" si="54"/>
        <v>#REF!</v>
      </c>
      <c r="BG100" s="14" t="e">
        <f t="shared" si="55"/>
        <v>#REF!</v>
      </c>
      <c r="BH100" s="14">
        <v>0</v>
      </c>
      <c r="BI100" s="14"/>
      <c r="BJ100" s="14"/>
      <c r="BK100" s="14">
        <v>1138</v>
      </c>
      <c r="BL100" s="14">
        <f t="shared" si="56"/>
        <v>1138</v>
      </c>
      <c r="BM100" s="14">
        <f t="shared" si="57"/>
        <v>0</v>
      </c>
      <c r="BN100" s="14">
        <v>0</v>
      </c>
      <c r="BO100" s="14"/>
      <c r="BP100" s="14"/>
      <c r="BQ100" s="14"/>
      <c r="BR100" s="14">
        <v>0</v>
      </c>
      <c r="BS100" s="14"/>
      <c r="BT100" s="14">
        <v>0</v>
      </c>
      <c r="BU100" s="14"/>
      <c r="BV100" s="14">
        <v>0</v>
      </c>
      <c r="BW100" s="14"/>
      <c r="BX100" s="14">
        <v>68988</v>
      </c>
      <c r="BY100" s="14">
        <f t="shared" si="58"/>
        <v>68988</v>
      </c>
      <c r="BZ100" s="14">
        <f t="shared" si="59"/>
        <v>0</v>
      </c>
      <c r="CA100" s="14">
        <v>67850</v>
      </c>
      <c r="CB100" s="14">
        <f t="shared" si="60"/>
        <v>67850</v>
      </c>
      <c r="CC100" s="14">
        <f t="shared" si="61"/>
        <v>0</v>
      </c>
      <c r="CD100" s="14">
        <v>0</v>
      </c>
      <c r="CE100" s="14"/>
      <c r="CF100" s="14"/>
      <c r="CG100" s="14">
        <v>0</v>
      </c>
      <c r="CH100" s="14"/>
      <c r="CI100" s="14">
        <v>2230.6849000000002</v>
      </c>
      <c r="CJ100" s="14">
        <v>0</v>
      </c>
      <c r="CK100" s="14"/>
      <c r="CL100" s="14">
        <v>0</v>
      </c>
      <c r="CM100" s="14">
        <v>7.4999999999999997E-2</v>
      </c>
      <c r="CN100" s="14">
        <v>0</v>
      </c>
      <c r="CO100" s="14">
        <v>0</v>
      </c>
      <c r="CP100" s="14">
        <v>0</v>
      </c>
      <c r="CQ100" s="14"/>
      <c r="CR100" s="14">
        <v>0</v>
      </c>
      <c r="CS100" s="14"/>
      <c r="CT100" s="14">
        <v>1500</v>
      </c>
      <c r="CU100" s="14">
        <f t="shared" si="76"/>
        <v>1500</v>
      </c>
      <c r="CV100" s="14">
        <f t="shared" si="77"/>
        <v>0</v>
      </c>
      <c r="CW100" s="14">
        <v>0</v>
      </c>
      <c r="CX100" s="14">
        <f t="shared" si="62"/>
        <v>0</v>
      </c>
      <c r="CY100" s="14">
        <f t="shared" si="63"/>
        <v>0</v>
      </c>
      <c r="CZ100" s="14">
        <v>1500</v>
      </c>
      <c r="DA100" s="14">
        <f t="shared" si="64"/>
        <v>1500</v>
      </c>
      <c r="DB100" s="14">
        <f t="shared" si="65"/>
        <v>0</v>
      </c>
      <c r="DC100" s="14">
        <v>3588.75</v>
      </c>
      <c r="DD100" s="14">
        <f t="shared" si="66"/>
        <v>3588.75</v>
      </c>
      <c r="DE100" s="14">
        <f t="shared" si="67"/>
        <v>0</v>
      </c>
      <c r="DF100" s="14">
        <v>67488</v>
      </c>
      <c r="DG100" s="14">
        <f t="shared" si="68"/>
        <v>67488</v>
      </c>
      <c r="DH100" s="14">
        <f t="shared" si="69"/>
        <v>0</v>
      </c>
      <c r="DI100" s="14">
        <v>5551.99</v>
      </c>
      <c r="DJ100" s="14">
        <f>IFERROR(VLOOKUP(D100,#REF!,2,0),0)</f>
        <v>0</v>
      </c>
      <c r="DK100" s="14">
        <f t="shared" si="70"/>
        <v>-5551.99</v>
      </c>
      <c r="DL100" s="14">
        <v>68988</v>
      </c>
      <c r="DM100" s="14">
        <v>1137420.72</v>
      </c>
      <c r="DN100" s="14">
        <v>5654.17</v>
      </c>
      <c r="DO100" s="14">
        <v>0</v>
      </c>
      <c r="DP100" s="14">
        <v>0</v>
      </c>
      <c r="DQ100" s="14">
        <v>67850</v>
      </c>
      <c r="DR100" s="14">
        <v>28</v>
      </c>
      <c r="DS100" s="14">
        <v>0</v>
      </c>
      <c r="DT100" s="5" t="s">
        <v>206</v>
      </c>
      <c r="DU100" s="5" t="s">
        <v>195</v>
      </c>
      <c r="DV100" s="5" t="s">
        <v>196</v>
      </c>
      <c r="DW100" s="5" t="s">
        <v>197</v>
      </c>
    </row>
    <row r="101" spans="1:127" ht="16.5">
      <c r="A101" s="5" t="s">
        <v>184</v>
      </c>
      <c r="B101" s="5" t="s">
        <v>147</v>
      </c>
      <c r="C101" s="5" t="s">
        <v>148</v>
      </c>
      <c r="D101" s="5" t="s">
        <v>755</v>
      </c>
      <c r="E101" s="5" t="e">
        <f>VLOOKUP(D101,#REF!,1,0)</f>
        <v>#REF!</v>
      </c>
      <c r="F101" s="5" t="s">
        <v>264</v>
      </c>
      <c r="G101" s="5" t="s">
        <v>756</v>
      </c>
      <c r="H101" s="5" t="str">
        <f t="shared" si="45"/>
        <v>Sze Chun Wong</v>
      </c>
      <c r="I101" s="5" t="e">
        <f>VLOOKUP(D101,#REF!,9,0)</f>
        <v>#REF!</v>
      </c>
      <c r="J101" s="5" t="e">
        <f t="shared" si="46"/>
        <v>#REF!</v>
      </c>
      <c r="K101" s="5" t="s">
        <v>757</v>
      </c>
      <c r="L101" s="5" t="s">
        <v>151</v>
      </c>
      <c r="M101" s="5" t="s">
        <v>758</v>
      </c>
      <c r="N101" s="10" t="e">
        <f>VLOOKUP(D101,#REF!,80,0)</f>
        <v>#REF!</v>
      </c>
      <c r="O101" s="11" t="e">
        <f t="shared" si="47"/>
        <v>#REF!</v>
      </c>
      <c r="P101" s="5" t="s">
        <v>550</v>
      </c>
      <c r="Q101" s="5" t="e">
        <f>VLOOKUP(D101,#REF!,50,0)</f>
        <v>#REF!</v>
      </c>
      <c r="R101" s="5" t="e">
        <f t="shared" si="48"/>
        <v>#REF!</v>
      </c>
      <c r="S101" s="5" t="s">
        <v>759</v>
      </c>
      <c r="T101" s="5" t="e">
        <f>VLOOKUP(D101,#REF!,21,0)</f>
        <v>#REF!</v>
      </c>
      <c r="U101" s="5" t="e">
        <f t="shared" si="49"/>
        <v>#REF!</v>
      </c>
      <c r="V101" s="5" t="s">
        <v>552</v>
      </c>
      <c r="W101" s="5" t="e">
        <f>VLOOKUP(D101,#REF!,51,0)</f>
        <v>#REF!</v>
      </c>
      <c r="X101" s="5" t="e">
        <f t="shared" si="50"/>
        <v>#REF!</v>
      </c>
      <c r="Y101" s="5" t="s">
        <v>192</v>
      </c>
      <c r="Z101" s="5" t="s">
        <v>193</v>
      </c>
      <c r="AA101" s="14">
        <v>2.56</v>
      </c>
      <c r="AB101" s="14">
        <v>60051</v>
      </c>
      <c r="AC101" s="14" t="e">
        <f>ROUND(VLOOKUP(D101,#REF!,59,0),0)</f>
        <v>#REF!</v>
      </c>
      <c r="AD101" s="14" t="e">
        <f t="shared" si="73"/>
        <v>#REF!</v>
      </c>
      <c r="AE101" s="14">
        <v>60051</v>
      </c>
      <c r="AF101" s="14">
        <f t="shared" si="74"/>
        <v>60051</v>
      </c>
      <c r="AG101" s="14">
        <f t="shared" si="75"/>
        <v>0</v>
      </c>
      <c r="AH101" s="14">
        <v>0</v>
      </c>
      <c r="AI101" s="14"/>
      <c r="AJ101" s="14"/>
      <c r="AK101" s="14">
        <v>0</v>
      </c>
      <c r="AL101" s="14"/>
      <c r="AM101" s="14"/>
      <c r="AN101" s="14">
        <v>0</v>
      </c>
      <c r="AO101" s="14">
        <v>0</v>
      </c>
      <c r="AP101" s="14">
        <f>IFERROR(VLOOKUP('Feb for check'!D101,#REF!,15,0),0)</f>
        <v>0</v>
      </c>
      <c r="AQ101" s="14">
        <f t="shared" si="51"/>
        <v>0</v>
      </c>
      <c r="AR101" s="14">
        <v>0</v>
      </c>
      <c r="AS101" s="14">
        <f t="shared" si="52"/>
        <v>0</v>
      </c>
      <c r="AT101" s="14">
        <f t="shared" si="53"/>
        <v>0</v>
      </c>
      <c r="AU101" s="14">
        <v>0</v>
      </c>
      <c r="AV101" s="14"/>
      <c r="AW101" s="14">
        <v>0</v>
      </c>
      <c r="AX101" s="14"/>
      <c r="AY101" s="14">
        <v>0</v>
      </c>
      <c r="AZ101" s="14"/>
      <c r="BA101" s="14">
        <v>0</v>
      </c>
      <c r="BB101" s="14">
        <f>IFERROR(VLOOKUP(D101,#REF!,2,0),0)</f>
        <v>0</v>
      </c>
      <c r="BC101" s="14" t="e">
        <f>MAX(VLOOKUP(D101,#REF!,13,0)-VLOOKUP(D101,#REF!,14,0),0)</f>
        <v>#REF!</v>
      </c>
      <c r="BD101" s="14">
        <f>IFERROR(VLOOKUP(D101,#REF!,3,0),0)</f>
        <v>0</v>
      </c>
      <c r="BE101" s="14" t="e">
        <f>MAX(VLOOKUP(D101,#REF!,22,0)-VLOOKUP(D101,#REF!,23,0),0)</f>
        <v>#REF!</v>
      </c>
      <c r="BF101" s="14" t="e">
        <f t="shared" si="54"/>
        <v>#REF!</v>
      </c>
      <c r="BG101" s="14" t="e">
        <f t="shared" si="55"/>
        <v>#REF!</v>
      </c>
      <c r="BH101" s="14">
        <v>0</v>
      </c>
      <c r="BI101" s="14"/>
      <c r="BJ101" s="14"/>
      <c r="BK101" s="14">
        <v>110</v>
      </c>
      <c r="BL101" s="14">
        <f t="shared" si="56"/>
        <v>110</v>
      </c>
      <c r="BM101" s="14">
        <f t="shared" si="57"/>
        <v>0</v>
      </c>
      <c r="BN101" s="14">
        <v>0</v>
      </c>
      <c r="BO101" s="14"/>
      <c r="BP101" s="14"/>
      <c r="BQ101" s="14"/>
      <c r="BR101" s="14">
        <v>0</v>
      </c>
      <c r="BS101" s="14"/>
      <c r="BT101" s="14">
        <v>0</v>
      </c>
      <c r="BU101" s="14"/>
      <c r="BV101" s="14">
        <v>0</v>
      </c>
      <c r="BW101" s="14"/>
      <c r="BX101" s="14">
        <v>60161</v>
      </c>
      <c r="BY101" s="14">
        <f t="shared" si="58"/>
        <v>60161</v>
      </c>
      <c r="BZ101" s="14">
        <f t="shared" si="59"/>
        <v>0</v>
      </c>
      <c r="CA101" s="14">
        <v>60051</v>
      </c>
      <c r="CB101" s="14">
        <f t="shared" si="60"/>
        <v>60051</v>
      </c>
      <c r="CC101" s="14">
        <f t="shared" si="61"/>
        <v>0</v>
      </c>
      <c r="CD101" s="14">
        <v>0</v>
      </c>
      <c r="CE101" s="14"/>
      <c r="CF101" s="14"/>
      <c r="CG101" s="14">
        <v>0</v>
      </c>
      <c r="CH101" s="14"/>
      <c r="CI101" s="14">
        <v>1974.2793999999999</v>
      </c>
      <c r="CJ101" s="14">
        <v>0</v>
      </c>
      <c r="CK101" s="14"/>
      <c r="CL101" s="14">
        <v>0</v>
      </c>
      <c r="CM101" s="14">
        <v>7.4999999999999997E-2</v>
      </c>
      <c r="CN101" s="14">
        <v>0</v>
      </c>
      <c r="CO101" s="14">
        <v>0</v>
      </c>
      <c r="CP101" s="14">
        <v>0</v>
      </c>
      <c r="CQ101" s="14"/>
      <c r="CR101" s="14">
        <v>0</v>
      </c>
      <c r="CS101" s="14"/>
      <c r="CT101" s="14">
        <v>1500</v>
      </c>
      <c r="CU101" s="14">
        <f t="shared" si="76"/>
        <v>1500</v>
      </c>
      <c r="CV101" s="14">
        <f t="shared" si="77"/>
        <v>0</v>
      </c>
      <c r="CW101" s="14">
        <v>0</v>
      </c>
      <c r="CX101" s="14">
        <f t="shared" si="62"/>
        <v>0</v>
      </c>
      <c r="CY101" s="14">
        <f t="shared" si="63"/>
        <v>0</v>
      </c>
      <c r="CZ101" s="14">
        <v>1500</v>
      </c>
      <c r="DA101" s="14">
        <f t="shared" si="64"/>
        <v>1500</v>
      </c>
      <c r="DB101" s="14">
        <f t="shared" si="65"/>
        <v>0</v>
      </c>
      <c r="DC101" s="14">
        <v>3003.83</v>
      </c>
      <c r="DD101" s="14">
        <f t="shared" si="66"/>
        <v>3003.83</v>
      </c>
      <c r="DE101" s="14">
        <f t="shared" si="67"/>
        <v>0</v>
      </c>
      <c r="DF101" s="14">
        <v>58661</v>
      </c>
      <c r="DG101" s="14">
        <f t="shared" si="68"/>
        <v>58661</v>
      </c>
      <c r="DH101" s="14">
        <f t="shared" si="69"/>
        <v>0</v>
      </c>
      <c r="DI101" s="14">
        <v>536.21</v>
      </c>
      <c r="DJ101" s="14">
        <f>IFERROR(VLOOKUP(D101,#REF!,2,0),0)</f>
        <v>0</v>
      </c>
      <c r="DK101" s="14">
        <f t="shared" si="70"/>
        <v>-536.21</v>
      </c>
      <c r="DL101" s="14">
        <v>60161</v>
      </c>
      <c r="DM101" s="14">
        <v>1000693.91</v>
      </c>
      <c r="DN101" s="14">
        <v>5004.25</v>
      </c>
      <c r="DO101" s="14">
        <v>0</v>
      </c>
      <c r="DP101" s="14">
        <v>0</v>
      </c>
      <c r="DQ101" s="14">
        <v>60051</v>
      </c>
      <c r="DR101" s="14">
        <v>28</v>
      </c>
      <c r="DS101" s="14">
        <v>0</v>
      </c>
      <c r="DT101" s="5" t="s">
        <v>206</v>
      </c>
      <c r="DU101" s="5" t="s">
        <v>195</v>
      </c>
      <c r="DV101" s="5" t="s">
        <v>196</v>
      </c>
      <c r="DW101" s="5" t="s">
        <v>197</v>
      </c>
    </row>
    <row r="102" spans="1:127" ht="16.5">
      <c r="A102" s="5" t="s">
        <v>184</v>
      </c>
      <c r="B102" s="5" t="s">
        <v>147</v>
      </c>
      <c r="C102" s="5" t="s">
        <v>148</v>
      </c>
      <c r="D102" s="5" t="s">
        <v>760</v>
      </c>
      <c r="E102" s="5" t="e">
        <f>VLOOKUP(D102,#REF!,1,0)</f>
        <v>#REF!</v>
      </c>
      <c r="F102" s="5" t="s">
        <v>369</v>
      </c>
      <c r="G102" s="5" t="s">
        <v>761</v>
      </c>
      <c r="H102" s="5" t="str">
        <f t="shared" si="45"/>
        <v>Chui Fun Chan</v>
      </c>
      <c r="I102" s="5" t="e">
        <f>VLOOKUP(D102,#REF!,9,0)</f>
        <v>#REF!</v>
      </c>
      <c r="J102" s="5" t="e">
        <f t="shared" si="46"/>
        <v>#REF!</v>
      </c>
      <c r="K102" s="5" t="s">
        <v>762</v>
      </c>
      <c r="L102" s="5" t="s">
        <v>151</v>
      </c>
      <c r="M102" s="5" t="s">
        <v>763</v>
      </c>
      <c r="N102" s="10" t="e">
        <f>VLOOKUP(D102,#REF!,80,0)</f>
        <v>#REF!</v>
      </c>
      <c r="O102" s="11" t="e">
        <f t="shared" si="47"/>
        <v>#REF!</v>
      </c>
      <c r="P102" s="5" t="s">
        <v>629</v>
      </c>
      <c r="Q102" s="5" t="e">
        <f>VLOOKUP(D102,#REF!,50,0)</f>
        <v>#REF!</v>
      </c>
      <c r="R102" s="5" t="e">
        <f t="shared" si="48"/>
        <v>#REF!</v>
      </c>
      <c r="S102" s="5" t="s">
        <v>764</v>
      </c>
      <c r="T102" s="5" t="e">
        <f>VLOOKUP(D102,#REF!,21,0)</f>
        <v>#REF!</v>
      </c>
      <c r="U102" s="5" t="e">
        <f t="shared" si="49"/>
        <v>#REF!</v>
      </c>
      <c r="V102" s="5" t="s">
        <v>631</v>
      </c>
      <c r="W102" s="5" t="e">
        <f>VLOOKUP(D102,#REF!,51,0)</f>
        <v>#REF!</v>
      </c>
      <c r="X102" s="5" t="e">
        <f t="shared" si="50"/>
        <v>#REF!</v>
      </c>
      <c r="Y102" s="5" t="s">
        <v>192</v>
      </c>
      <c r="Z102" s="5" t="s">
        <v>193</v>
      </c>
      <c r="AA102" s="14">
        <v>30.29</v>
      </c>
      <c r="AB102" s="14">
        <v>51959</v>
      </c>
      <c r="AC102" s="14" t="e">
        <f>ROUND(VLOOKUP(D102,#REF!,59,0),0)</f>
        <v>#REF!</v>
      </c>
      <c r="AD102" s="14" t="e">
        <f t="shared" si="73"/>
        <v>#REF!</v>
      </c>
      <c r="AE102" s="14">
        <v>51959</v>
      </c>
      <c r="AF102" s="14">
        <f t="shared" si="74"/>
        <v>51959</v>
      </c>
      <c r="AG102" s="14">
        <f t="shared" si="75"/>
        <v>0</v>
      </c>
      <c r="AH102" s="14">
        <v>0</v>
      </c>
      <c r="AI102" s="14"/>
      <c r="AJ102" s="14"/>
      <c r="AK102" s="14">
        <v>0</v>
      </c>
      <c r="AL102" s="14"/>
      <c r="AM102" s="14"/>
      <c r="AN102" s="14">
        <v>0</v>
      </c>
      <c r="AO102" s="14">
        <v>0</v>
      </c>
      <c r="AP102" s="14">
        <f>IFERROR(VLOOKUP('Feb for check'!D102,#REF!,15,0),0)</f>
        <v>0</v>
      </c>
      <c r="AQ102" s="14">
        <f t="shared" si="51"/>
        <v>0</v>
      </c>
      <c r="AR102" s="14">
        <v>0</v>
      </c>
      <c r="AS102" s="14">
        <f t="shared" si="52"/>
        <v>0</v>
      </c>
      <c r="AT102" s="14">
        <f t="shared" si="53"/>
        <v>0</v>
      </c>
      <c r="AU102" s="14">
        <v>0</v>
      </c>
      <c r="AV102" s="14"/>
      <c r="AW102" s="14">
        <v>0</v>
      </c>
      <c r="AX102" s="14"/>
      <c r="AY102" s="14">
        <v>0</v>
      </c>
      <c r="AZ102" s="14"/>
      <c r="BA102" s="14">
        <v>1062</v>
      </c>
      <c r="BB102" s="14">
        <f>IFERROR(VLOOKUP(D102,#REF!,2,0),0)</f>
        <v>0</v>
      </c>
      <c r="BC102" s="14" t="e">
        <f>MAX(VLOOKUP(D102,#REF!,13,0)-VLOOKUP(D102,#REF!,14,0),0)</f>
        <v>#REF!</v>
      </c>
      <c r="BD102" s="14">
        <f>IFERROR(VLOOKUP(D102,#REF!,3,0),0)</f>
        <v>0</v>
      </c>
      <c r="BE102" s="14" t="e">
        <f>MAX(VLOOKUP(D102,#REF!,22,0)-VLOOKUP(D102,#REF!,23,0),0)</f>
        <v>#REF!</v>
      </c>
      <c r="BF102" s="14" t="e">
        <f t="shared" si="54"/>
        <v>#REF!</v>
      </c>
      <c r="BG102" s="14" t="e">
        <f t="shared" si="55"/>
        <v>#REF!</v>
      </c>
      <c r="BH102" s="14">
        <v>0</v>
      </c>
      <c r="BI102" s="14"/>
      <c r="BJ102" s="14"/>
      <c r="BK102" s="14">
        <v>0</v>
      </c>
      <c r="BL102" s="14">
        <f t="shared" si="56"/>
        <v>0</v>
      </c>
      <c r="BM102" s="14">
        <f t="shared" si="57"/>
        <v>0</v>
      </c>
      <c r="BN102" s="14">
        <v>0</v>
      </c>
      <c r="BO102" s="14"/>
      <c r="BP102" s="14"/>
      <c r="BQ102" s="14"/>
      <c r="BR102" s="14">
        <v>0</v>
      </c>
      <c r="BS102" s="14"/>
      <c r="BT102" s="14">
        <v>0</v>
      </c>
      <c r="BU102" s="14"/>
      <c r="BV102" s="14">
        <v>0</v>
      </c>
      <c r="BW102" s="14"/>
      <c r="BX102" s="14">
        <v>0</v>
      </c>
      <c r="BY102" s="14"/>
      <c r="BZ102" s="14"/>
      <c r="CA102" s="14">
        <v>0</v>
      </c>
      <c r="CB102" s="14"/>
      <c r="CC102" s="14"/>
      <c r="CD102" s="14">
        <v>51959</v>
      </c>
      <c r="CE102" s="14">
        <f>AE102</f>
        <v>51959</v>
      </c>
      <c r="CF102" s="14">
        <f>CE102-CD102</f>
        <v>0</v>
      </c>
      <c r="CG102" s="14">
        <v>0</v>
      </c>
      <c r="CH102" s="14"/>
      <c r="CI102" s="14">
        <v>1708.241</v>
      </c>
      <c r="CJ102" s="14">
        <v>0</v>
      </c>
      <c r="CK102" s="14"/>
      <c r="CL102" s="14">
        <v>0</v>
      </c>
      <c r="CM102" s="14">
        <v>0</v>
      </c>
      <c r="CN102" s="14">
        <v>0.05</v>
      </c>
      <c r="CO102" s="14">
        <v>6.0999999999999999E-2</v>
      </c>
      <c r="CP102" s="14">
        <v>2597.9499999999998</v>
      </c>
      <c r="CQ102" s="14">
        <f>ROUND(CN102*CD102,2)</f>
        <v>2597.9499999999998</v>
      </c>
      <c r="CR102" s="14">
        <v>3169.5</v>
      </c>
      <c r="CS102" s="14">
        <f>ROUND(CD102*CO102,2)</f>
        <v>3169.5</v>
      </c>
      <c r="CT102" s="14">
        <v>0</v>
      </c>
      <c r="CU102" s="14"/>
      <c r="CV102" s="14"/>
      <c r="CW102" s="14">
        <v>0</v>
      </c>
      <c r="CX102" s="14">
        <f t="shared" si="62"/>
        <v>0</v>
      </c>
      <c r="CY102" s="14">
        <f t="shared" si="63"/>
        <v>0</v>
      </c>
      <c r="CZ102" s="14">
        <v>0</v>
      </c>
      <c r="DA102" s="14">
        <f t="shared" si="64"/>
        <v>0</v>
      </c>
      <c r="DB102" s="14">
        <f t="shared" si="65"/>
        <v>0</v>
      </c>
      <c r="DC102" s="14">
        <v>0</v>
      </c>
      <c r="DD102" s="14">
        <f t="shared" si="66"/>
        <v>0</v>
      </c>
      <c r="DE102" s="14">
        <f t="shared" si="67"/>
        <v>0</v>
      </c>
      <c r="DF102" s="14">
        <v>50423.05</v>
      </c>
      <c r="DG102" s="14">
        <f t="shared" si="68"/>
        <v>50423.05</v>
      </c>
      <c r="DH102" s="14">
        <f t="shared" si="69"/>
        <v>0</v>
      </c>
      <c r="DI102" s="14">
        <v>0</v>
      </c>
      <c r="DJ102" s="14">
        <f>IFERROR(VLOOKUP(D102,#REF!,2,0),0)</f>
        <v>0</v>
      </c>
      <c r="DK102" s="14">
        <f t="shared" si="70"/>
        <v>0</v>
      </c>
      <c r="DL102" s="14">
        <v>53021</v>
      </c>
      <c r="DM102" s="14">
        <v>822237.65</v>
      </c>
      <c r="DN102" s="14">
        <v>4329.92</v>
      </c>
      <c r="DO102" s="14">
        <v>1062</v>
      </c>
      <c r="DP102" s="14">
        <v>46.14</v>
      </c>
      <c r="DQ102" s="14">
        <v>53021</v>
      </c>
      <c r="DR102" s="14">
        <v>28</v>
      </c>
      <c r="DS102" s="14">
        <v>0</v>
      </c>
      <c r="DT102" s="5" t="s">
        <v>206</v>
      </c>
      <c r="DU102" s="5" t="s">
        <v>195</v>
      </c>
      <c r="DV102" s="5" t="s">
        <v>196</v>
      </c>
      <c r="DW102" s="5" t="s">
        <v>197</v>
      </c>
    </row>
    <row r="103" spans="1:127" ht="16.5">
      <c r="A103" s="5" t="s">
        <v>184</v>
      </c>
      <c r="B103" s="5" t="s">
        <v>147</v>
      </c>
      <c r="C103" s="5" t="s">
        <v>148</v>
      </c>
      <c r="D103" s="5" t="s">
        <v>765</v>
      </c>
      <c r="E103" s="5" t="e">
        <f>VLOOKUP(D103,#REF!,1,0)</f>
        <v>#REF!</v>
      </c>
      <c r="F103" s="5" t="s">
        <v>766</v>
      </c>
      <c r="G103" s="5" t="s">
        <v>767</v>
      </c>
      <c r="H103" s="5" t="str">
        <f t="shared" si="45"/>
        <v>Lei Xing</v>
      </c>
      <c r="I103" s="5" t="e">
        <f>VLOOKUP(D103,#REF!,9,0)</f>
        <v>#REF!</v>
      </c>
      <c r="J103" s="5" t="e">
        <f t="shared" si="46"/>
        <v>#REF!</v>
      </c>
      <c r="K103" s="5" t="s">
        <v>768</v>
      </c>
      <c r="L103" s="5" t="s">
        <v>151</v>
      </c>
      <c r="M103" s="5" t="s">
        <v>769</v>
      </c>
      <c r="N103" s="10" t="e">
        <f>VLOOKUP(D103,#REF!,80,0)</f>
        <v>#REF!</v>
      </c>
      <c r="O103" s="11" t="e">
        <f t="shared" si="47"/>
        <v>#REF!</v>
      </c>
      <c r="P103" s="5" t="s">
        <v>325</v>
      </c>
      <c r="Q103" s="5" t="e">
        <f>VLOOKUP(D103,#REF!,50,0)</f>
        <v>#REF!</v>
      </c>
      <c r="R103" s="5" t="e">
        <f t="shared" si="48"/>
        <v>#REF!</v>
      </c>
      <c r="S103" s="5" t="s">
        <v>770</v>
      </c>
      <c r="T103" s="5" t="e">
        <f>VLOOKUP(D103,#REF!,21,0)</f>
        <v>#REF!</v>
      </c>
      <c r="U103" s="5" t="e">
        <f t="shared" si="49"/>
        <v>#REF!</v>
      </c>
      <c r="V103" s="5" t="s">
        <v>327</v>
      </c>
      <c r="W103" s="5" t="e">
        <f>VLOOKUP(D103,#REF!,51,0)</f>
        <v>#REF!</v>
      </c>
      <c r="X103" s="5" t="e">
        <f t="shared" si="50"/>
        <v>#REF!</v>
      </c>
      <c r="Y103" s="5" t="s">
        <v>192</v>
      </c>
      <c r="Z103" s="5" t="s">
        <v>193</v>
      </c>
      <c r="AA103" s="14">
        <v>2.42</v>
      </c>
      <c r="AB103" s="14">
        <v>48695</v>
      </c>
      <c r="AC103" s="14" t="e">
        <f>ROUND(VLOOKUP(D103,#REF!,59,0),0)</f>
        <v>#REF!</v>
      </c>
      <c r="AD103" s="14" t="e">
        <f t="shared" si="73"/>
        <v>#REF!</v>
      </c>
      <c r="AE103" s="14">
        <v>48695</v>
      </c>
      <c r="AF103" s="14">
        <f t="shared" si="74"/>
        <v>48695</v>
      </c>
      <c r="AG103" s="14">
        <f t="shared" si="75"/>
        <v>0</v>
      </c>
      <c r="AH103" s="14">
        <v>0</v>
      </c>
      <c r="AI103" s="14"/>
      <c r="AJ103" s="14"/>
      <c r="AK103" s="14">
        <v>0</v>
      </c>
      <c r="AL103" s="14"/>
      <c r="AM103" s="14"/>
      <c r="AN103" s="14">
        <v>0</v>
      </c>
      <c r="AO103" s="14">
        <v>0</v>
      </c>
      <c r="AP103" s="14">
        <f>IFERROR(VLOOKUP('Feb for check'!D103,#REF!,15,0),0)</f>
        <v>0</v>
      </c>
      <c r="AQ103" s="14">
        <f t="shared" si="51"/>
        <v>0</v>
      </c>
      <c r="AR103" s="14">
        <v>0</v>
      </c>
      <c r="AS103" s="14">
        <f t="shared" si="52"/>
        <v>0</v>
      </c>
      <c r="AT103" s="14">
        <f t="shared" si="53"/>
        <v>0</v>
      </c>
      <c r="AU103" s="14">
        <v>0</v>
      </c>
      <c r="AV103" s="14"/>
      <c r="AW103" s="14">
        <v>0</v>
      </c>
      <c r="AX103" s="14"/>
      <c r="AY103" s="14">
        <v>0</v>
      </c>
      <c r="AZ103" s="14"/>
      <c r="BA103" s="14">
        <v>503.3</v>
      </c>
      <c r="BB103" s="14">
        <f>IFERROR(VLOOKUP(D103,#REF!,2,0),0)</f>
        <v>0</v>
      </c>
      <c r="BC103" s="14" t="e">
        <f>MAX(VLOOKUP(D103,#REF!,13,0)-VLOOKUP(D103,#REF!,14,0),0)</f>
        <v>#REF!</v>
      </c>
      <c r="BD103" s="14">
        <f>IFERROR(VLOOKUP(D103,#REF!,3,0),0)</f>
        <v>0</v>
      </c>
      <c r="BE103" s="14" t="e">
        <f>MAX(VLOOKUP(D103,#REF!,22,0)-VLOOKUP(D103,#REF!,23,0),0)</f>
        <v>#REF!</v>
      </c>
      <c r="BF103" s="14" t="e">
        <f t="shared" si="54"/>
        <v>#REF!</v>
      </c>
      <c r="BG103" s="14" t="e">
        <f t="shared" si="55"/>
        <v>#REF!</v>
      </c>
      <c r="BH103" s="14">
        <v>0</v>
      </c>
      <c r="BI103" s="14"/>
      <c r="BJ103" s="14"/>
      <c r="BK103" s="14">
        <v>1376</v>
      </c>
      <c r="BL103" s="14">
        <f t="shared" si="56"/>
        <v>1376</v>
      </c>
      <c r="BM103" s="14">
        <f t="shared" si="57"/>
        <v>0</v>
      </c>
      <c r="BN103" s="14">
        <v>0</v>
      </c>
      <c r="BO103" s="14"/>
      <c r="BP103" s="14"/>
      <c r="BQ103" s="14"/>
      <c r="BR103" s="14">
        <v>0</v>
      </c>
      <c r="BS103" s="14"/>
      <c r="BT103" s="14">
        <v>0</v>
      </c>
      <c r="BU103" s="14"/>
      <c r="BV103" s="14">
        <v>0</v>
      </c>
      <c r="BW103" s="14"/>
      <c r="BX103" s="14">
        <v>50574.3</v>
      </c>
      <c r="BY103" s="14">
        <f t="shared" si="58"/>
        <v>50574.3</v>
      </c>
      <c r="BZ103" s="14">
        <f t="shared" si="59"/>
        <v>0</v>
      </c>
      <c r="CA103" s="14">
        <v>49198.3</v>
      </c>
      <c r="CB103" s="14">
        <f t="shared" si="60"/>
        <v>49198.3</v>
      </c>
      <c r="CC103" s="14">
        <f t="shared" si="61"/>
        <v>0</v>
      </c>
      <c r="CD103" s="14">
        <v>0</v>
      </c>
      <c r="CE103" s="14"/>
      <c r="CF103" s="14"/>
      <c r="CG103" s="14">
        <v>0</v>
      </c>
      <c r="CH103" s="14"/>
      <c r="CI103" s="14">
        <v>1600.9314999999999</v>
      </c>
      <c r="CJ103" s="14">
        <v>0.05</v>
      </c>
      <c r="CK103" s="14"/>
      <c r="CL103" s="14">
        <v>0</v>
      </c>
      <c r="CM103" s="14">
        <v>0.1</v>
      </c>
      <c r="CN103" s="14">
        <v>0</v>
      </c>
      <c r="CO103" s="14">
        <v>0</v>
      </c>
      <c r="CP103" s="14">
        <v>0</v>
      </c>
      <c r="CQ103" s="14"/>
      <c r="CR103" s="14">
        <v>0</v>
      </c>
      <c r="CS103" s="14"/>
      <c r="CT103" s="14">
        <v>1500</v>
      </c>
      <c r="CU103" s="14">
        <f t="shared" ref="CU103:CU132" si="78">MIN(BX103*5%,1500)</f>
        <v>1500</v>
      </c>
      <c r="CV103" s="14">
        <f t="shared" ref="CV103:CV132" si="79">CU103-CT103</f>
        <v>0</v>
      </c>
      <c r="CW103" s="14">
        <v>2459.92</v>
      </c>
      <c r="CX103" s="14">
        <f t="shared" si="62"/>
        <v>2459.92</v>
      </c>
      <c r="CY103" s="14">
        <f t="shared" si="63"/>
        <v>0</v>
      </c>
      <c r="CZ103" s="14">
        <v>1500</v>
      </c>
      <c r="DA103" s="14">
        <f t="shared" si="64"/>
        <v>1500</v>
      </c>
      <c r="DB103" s="14">
        <f t="shared" si="65"/>
        <v>0</v>
      </c>
      <c r="DC103" s="14">
        <v>3419.83</v>
      </c>
      <c r="DD103" s="14">
        <f t="shared" si="66"/>
        <v>3419.83</v>
      </c>
      <c r="DE103" s="14">
        <f t="shared" si="67"/>
        <v>0</v>
      </c>
      <c r="DF103" s="14">
        <v>46614.38</v>
      </c>
      <c r="DG103" s="14">
        <f t="shared" si="68"/>
        <v>46614.380000000005</v>
      </c>
      <c r="DH103" s="14">
        <f t="shared" si="69"/>
        <v>0</v>
      </c>
      <c r="DI103" s="14">
        <v>6713.77</v>
      </c>
      <c r="DJ103" s="14">
        <f>IFERROR(VLOOKUP(D103,#REF!,2,0),0)</f>
        <v>0</v>
      </c>
      <c r="DK103" s="14">
        <f t="shared" si="70"/>
        <v>-6713.77</v>
      </c>
      <c r="DL103" s="14">
        <v>50574.3</v>
      </c>
      <c r="DM103" s="14">
        <v>821798.91</v>
      </c>
      <c r="DN103" s="14">
        <v>4057.92</v>
      </c>
      <c r="DO103" s="14">
        <v>503.3</v>
      </c>
      <c r="DP103" s="14">
        <v>0</v>
      </c>
      <c r="DQ103" s="14">
        <v>49198.3</v>
      </c>
      <c r="DR103" s="14">
        <v>28</v>
      </c>
      <c r="DS103" s="14">
        <v>0</v>
      </c>
      <c r="DT103" s="5" t="s">
        <v>206</v>
      </c>
      <c r="DU103" s="5" t="s">
        <v>195</v>
      </c>
      <c r="DV103" s="5" t="s">
        <v>196</v>
      </c>
      <c r="DW103" s="5" t="s">
        <v>197</v>
      </c>
    </row>
    <row r="104" spans="1:127" ht="16.5">
      <c r="A104" s="5" t="s">
        <v>184</v>
      </c>
      <c r="B104" s="5" t="s">
        <v>147</v>
      </c>
      <c r="C104" s="5" t="s">
        <v>148</v>
      </c>
      <c r="D104" s="5" t="s">
        <v>771</v>
      </c>
      <c r="E104" s="5" t="e">
        <f>VLOOKUP(D104,#REF!,1,0)</f>
        <v>#REF!</v>
      </c>
      <c r="F104" s="5" t="s">
        <v>772</v>
      </c>
      <c r="G104" s="5" t="s">
        <v>773</v>
      </c>
      <c r="H104" s="5" t="str">
        <f t="shared" si="45"/>
        <v>Shi Jian Lao</v>
      </c>
      <c r="I104" s="5" t="e">
        <f>VLOOKUP(D104,#REF!,9,0)</f>
        <v>#REF!</v>
      </c>
      <c r="J104" s="5" t="e">
        <f t="shared" si="46"/>
        <v>#REF!</v>
      </c>
      <c r="K104" s="5" t="s">
        <v>774</v>
      </c>
      <c r="L104" s="5" t="s">
        <v>151</v>
      </c>
      <c r="M104" s="5" t="s">
        <v>775</v>
      </c>
      <c r="N104" s="10" t="e">
        <f>VLOOKUP(D104,#REF!,80,0)</f>
        <v>#REF!</v>
      </c>
      <c r="O104" s="11" t="s">
        <v>305</v>
      </c>
      <c r="P104" s="5" t="s">
        <v>325</v>
      </c>
      <c r="Q104" s="5" t="e">
        <f>VLOOKUP(D104,#REF!,50,0)</f>
        <v>#REF!</v>
      </c>
      <c r="R104" s="5" t="e">
        <f t="shared" si="48"/>
        <v>#REF!</v>
      </c>
      <c r="S104" s="5" t="s">
        <v>776</v>
      </c>
      <c r="T104" s="5" t="e">
        <f>VLOOKUP(D104,#REF!,21,0)</f>
        <v>#REF!</v>
      </c>
      <c r="U104" s="5" t="e">
        <f t="shared" si="49"/>
        <v>#REF!</v>
      </c>
      <c r="V104" s="5" t="s">
        <v>327</v>
      </c>
      <c r="W104" s="5" t="e">
        <f>VLOOKUP(D104,#REF!,51,0)</f>
        <v>#REF!</v>
      </c>
      <c r="X104" s="5" t="e">
        <f t="shared" si="50"/>
        <v>#REF!</v>
      </c>
      <c r="Y104" s="5" t="s">
        <v>192</v>
      </c>
      <c r="Z104" s="5" t="s">
        <v>193</v>
      </c>
      <c r="AA104" s="14">
        <v>5.2</v>
      </c>
      <c r="AB104" s="14">
        <v>60105</v>
      </c>
      <c r="AC104" s="14" t="e">
        <f>ROUND(VLOOKUP(D104,#REF!,59,0),0)</f>
        <v>#REF!</v>
      </c>
      <c r="AD104" s="14" t="e">
        <f t="shared" si="73"/>
        <v>#REF!</v>
      </c>
      <c r="AE104" s="14">
        <v>60105</v>
      </c>
      <c r="AF104" s="14">
        <f t="shared" si="74"/>
        <v>60105</v>
      </c>
      <c r="AG104" s="14">
        <f t="shared" si="75"/>
        <v>0</v>
      </c>
      <c r="AH104" s="14">
        <v>0</v>
      </c>
      <c r="AI104" s="14"/>
      <c r="AJ104" s="14"/>
      <c r="AK104" s="14">
        <v>0</v>
      </c>
      <c r="AL104" s="14"/>
      <c r="AM104" s="14"/>
      <c r="AN104" s="14">
        <v>0</v>
      </c>
      <c r="AO104" s="14">
        <v>0</v>
      </c>
      <c r="AP104" s="14">
        <f>IFERROR(VLOOKUP('Feb for check'!D104,#REF!,15,0),0)</f>
        <v>0</v>
      </c>
      <c r="AQ104" s="14">
        <f t="shared" si="51"/>
        <v>0</v>
      </c>
      <c r="AR104" s="14">
        <v>0</v>
      </c>
      <c r="AS104" s="14">
        <f t="shared" si="52"/>
        <v>0</v>
      </c>
      <c r="AT104" s="14">
        <f t="shared" si="53"/>
        <v>0</v>
      </c>
      <c r="AU104" s="14">
        <v>0</v>
      </c>
      <c r="AV104" s="14"/>
      <c r="AW104" s="14">
        <v>0</v>
      </c>
      <c r="AX104" s="14"/>
      <c r="AY104" s="14">
        <v>0</v>
      </c>
      <c r="AZ104" s="14"/>
      <c r="BA104" s="14">
        <v>1543.56</v>
      </c>
      <c r="BB104" s="14">
        <f>IFERROR(VLOOKUP(D104,#REF!,2,0),0)</f>
        <v>0</v>
      </c>
      <c r="BC104" s="14" t="e">
        <f>MAX(VLOOKUP(D104,#REF!,13,0)-VLOOKUP(D104,#REF!,14,0),0)</f>
        <v>#REF!</v>
      </c>
      <c r="BD104" s="14">
        <f>IFERROR(VLOOKUP(D104,#REF!,3,0),0)</f>
        <v>0</v>
      </c>
      <c r="BE104" s="14" t="e">
        <f>MAX(VLOOKUP(D104,#REF!,22,0)-VLOOKUP(D104,#REF!,23,0),0)</f>
        <v>#REF!</v>
      </c>
      <c r="BF104" s="14" t="e">
        <f t="shared" si="54"/>
        <v>#REF!</v>
      </c>
      <c r="BG104" s="14" t="e">
        <f t="shared" si="55"/>
        <v>#REF!</v>
      </c>
      <c r="BH104" s="14">
        <v>0</v>
      </c>
      <c r="BI104" s="14"/>
      <c r="BJ104" s="14"/>
      <c r="BK104" s="14">
        <v>459</v>
      </c>
      <c r="BL104" s="14">
        <f t="shared" si="56"/>
        <v>459</v>
      </c>
      <c r="BM104" s="14">
        <f t="shared" si="57"/>
        <v>0</v>
      </c>
      <c r="BN104" s="14">
        <v>0</v>
      </c>
      <c r="BO104" s="14"/>
      <c r="BP104" s="14"/>
      <c r="BQ104" s="14"/>
      <c r="BR104" s="14">
        <v>0</v>
      </c>
      <c r="BS104" s="14"/>
      <c r="BT104" s="14">
        <v>0</v>
      </c>
      <c r="BU104" s="14"/>
      <c r="BV104" s="14">
        <v>0</v>
      </c>
      <c r="BW104" s="14"/>
      <c r="BX104" s="14">
        <v>62107.56</v>
      </c>
      <c r="BY104" s="14">
        <f t="shared" si="58"/>
        <v>62107.56</v>
      </c>
      <c r="BZ104" s="14">
        <f t="shared" si="59"/>
        <v>0</v>
      </c>
      <c r="CA104" s="14">
        <v>61648.56</v>
      </c>
      <c r="CB104" s="14">
        <f t="shared" si="60"/>
        <v>61648.56</v>
      </c>
      <c r="CC104" s="14">
        <f t="shared" si="61"/>
        <v>0</v>
      </c>
      <c r="CD104" s="14">
        <v>0</v>
      </c>
      <c r="CE104" s="14"/>
      <c r="CF104" s="14"/>
      <c r="CG104" s="14">
        <v>0</v>
      </c>
      <c r="CH104" s="14"/>
      <c r="CI104" s="14">
        <v>1976.0546999999999</v>
      </c>
      <c r="CJ104" s="14">
        <v>0.05</v>
      </c>
      <c r="CK104" s="14"/>
      <c r="CL104" s="14">
        <v>0</v>
      </c>
      <c r="CM104" s="14">
        <v>0.1</v>
      </c>
      <c r="CN104" s="14">
        <v>0</v>
      </c>
      <c r="CO104" s="14">
        <v>0</v>
      </c>
      <c r="CP104" s="14">
        <v>0</v>
      </c>
      <c r="CQ104" s="14"/>
      <c r="CR104" s="14">
        <v>0</v>
      </c>
      <c r="CS104" s="14"/>
      <c r="CT104" s="14">
        <v>1500</v>
      </c>
      <c r="CU104" s="14">
        <f t="shared" si="78"/>
        <v>1500</v>
      </c>
      <c r="CV104" s="14">
        <f t="shared" si="79"/>
        <v>0</v>
      </c>
      <c r="CW104" s="14">
        <v>3082.43</v>
      </c>
      <c r="CX104" s="14">
        <f t="shared" si="62"/>
        <v>3082.43</v>
      </c>
      <c r="CY104" s="14">
        <f t="shared" si="63"/>
        <v>0</v>
      </c>
      <c r="CZ104" s="14">
        <v>1500</v>
      </c>
      <c r="DA104" s="14">
        <f t="shared" si="64"/>
        <v>1500</v>
      </c>
      <c r="DB104" s="14">
        <f t="shared" si="65"/>
        <v>0</v>
      </c>
      <c r="DC104" s="14">
        <v>4664.8599999999997</v>
      </c>
      <c r="DD104" s="14">
        <f t="shared" si="66"/>
        <v>4664.8599999999997</v>
      </c>
      <c r="DE104" s="14">
        <f t="shared" si="67"/>
        <v>0</v>
      </c>
      <c r="DF104" s="14">
        <v>57525.13</v>
      </c>
      <c r="DG104" s="14">
        <f t="shared" si="68"/>
        <v>57525.13</v>
      </c>
      <c r="DH104" s="14">
        <f t="shared" si="69"/>
        <v>0</v>
      </c>
      <c r="DI104" s="14">
        <v>2237.92</v>
      </c>
      <c r="DJ104" s="14">
        <f>IFERROR(VLOOKUP(D104,#REF!,2,0),0)</f>
        <v>0</v>
      </c>
      <c r="DK104" s="14">
        <f t="shared" si="70"/>
        <v>-2237.92</v>
      </c>
      <c r="DL104" s="14">
        <v>62107.56</v>
      </c>
      <c r="DM104" s="14">
        <v>1062061.0900000001</v>
      </c>
      <c r="DN104" s="14">
        <v>5008.75</v>
      </c>
      <c r="DO104" s="14">
        <v>1543.56</v>
      </c>
      <c r="DP104" s="14">
        <v>0</v>
      </c>
      <c r="DQ104" s="14">
        <v>61648.56</v>
      </c>
      <c r="DR104" s="14">
        <v>28</v>
      </c>
      <c r="DS104" s="14">
        <v>0</v>
      </c>
      <c r="DT104" s="5" t="s">
        <v>206</v>
      </c>
      <c r="DU104" s="5" t="s">
        <v>195</v>
      </c>
      <c r="DV104" s="5" t="s">
        <v>196</v>
      </c>
      <c r="DW104" s="5" t="s">
        <v>197</v>
      </c>
    </row>
    <row r="105" spans="1:127" ht="16.5">
      <c r="A105" s="5" t="s">
        <v>184</v>
      </c>
      <c r="B105" s="5" t="s">
        <v>147</v>
      </c>
      <c r="C105" s="5" t="s">
        <v>148</v>
      </c>
      <c r="D105" s="5" t="s">
        <v>777</v>
      </c>
      <c r="E105" s="5" t="e">
        <f>VLOOKUP(D105,#REF!,1,0)</f>
        <v>#REF!</v>
      </c>
      <c r="F105" s="5" t="s">
        <v>264</v>
      </c>
      <c r="G105" s="5" t="s">
        <v>778</v>
      </c>
      <c r="H105" s="5" t="str">
        <f t="shared" si="45"/>
        <v>Kit Yi Wong</v>
      </c>
      <c r="I105" s="5" t="e">
        <f>VLOOKUP(D105,#REF!,9,0)</f>
        <v>#REF!</v>
      </c>
      <c r="J105" s="5" t="e">
        <f t="shared" si="46"/>
        <v>#REF!</v>
      </c>
      <c r="K105" s="5" t="s">
        <v>585</v>
      </c>
      <c r="L105" s="5" t="s">
        <v>151</v>
      </c>
      <c r="M105" s="5" t="s">
        <v>779</v>
      </c>
      <c r="N105" s="10" t="e">
        <f>VLOOKUP(D105,#REF!,80,0)</f>
        <v>#REF!</v>
      </c>
      <c r="O105" s="11" t="s">
        <v>305</v>
      </c>
      <c r="P105" s="5" t="s">
        <v>679</v>
      </c>
      <c r="Q105" s="5" t="e">
        <f>VLOOKUP(D105,#REF!,50,0)</f>
        <v>#REF!</v>
      </c>
      <c r="R105" s="5" t="e">
        <f t="shared" si="48"/>
        <v>#REF!</v>
      </c>
      <c r="S105" s="5" t="s">
        <v>780</v>
      </c>
      <c r="T105" s="5" t="e">
        <f>VLOOKUP(D105,#REF!,21,0)</f>
        <v>#REF!</v>
      </c>
      <c r="U105" s="5" t="e">
        <f t="shared" si="49"/>
        <v>#REF!</v>
      </c>
      <c r="V105" s="5" t="s">
        <v>681</v>
      </c>
      <c r="W105" s="5" t="e">
        <f>VLOOKUP(D105,#REF!,51,0)</f>
        <v>#REF!</v>
      </c>
      <c r="X105" s="5" t="e">
        <f t="shared" si="50"/>
        <v>#REF!</v>
      </c>
      <c r="Y105" s="5" t="s">
        <v>192</v>
      </c>
      <c r="Z105" s="5" t="s">
        <v>193</v>
      </c>
      <c r="AA105" s="14">
        <v>26.88</v>
      </c>
      <c r="AB105" s="14">
        <v>136020</v>
      </c>
      <c r="AC105" s="14" t="e">
        <f>ROUND(VLOOKUP(D105,#REF!,59,0),0)</f>
        <v>#REF!</v>
      </c>
      <c r="AD105" s="14" t="e">
        <f t="shared" si="73"/>
        <v>#REF!</v>
      </c>
      <c r="AE105" s="14">
        <v>136020</v>
      </c>
      <c r="AF105" s="14">
        <f t="shared" si="74"/>
        <v>136020</v>
      </c>
      <c r="AG105" s="14">
        <f t="shared" si="75"/>
        <v>0</v>
      </c>
      <c r="AH105" s="14">
        <v>0</v>
      </c>
      <c r="AI105" s="14"/>
      <c r="AJ105" s="14"/>
      <c r="AK105" s="14">
        <v>0</v>
      </c>
      <c r="AL105" s="14"/>
      <c r="AM105" s="14"/>
      <c r="AN105" s="14">
        <v>0</v>
      </c>
      <c r="AO105" s="14">
        <v>0</v>
      </c>
      <c r="AP105" s="14">
        <f>IFERROR(VLOOKUP('Feb for check'!D105,#REF!,15,0),0)</f>
        <v>0</v>
      </c>
      <c r="AQ105" s="14">
        <f t="shared" si="51"/>
        <v>0</v>
      </c>
      <c r="AR105" s="14">
        <v>0</v>
      </c>
      <c r="AS105" s="14">
        <f t="shared" si="52"/>
        <v>0</v>
      </c>
      <c r="AT105" s="14">
        <f t="shared" si="53"/>
        <v>0</v>
      </c>
      <c r="AU105" s="14">
        <v>0</v>
      </c>
      <c r="AV105" s="14"/>
      <c r="AW105" s="14">
        <v>0</v>
      </c>
      <c r="AX105" s="14"/>
      <c r="AY105" s="14">
        <v>0</v>
      </c>
      <c r="AZ105" s="14"/>
      <c r="BA105" s="14">
        <v>3875</v>
      </c>
      <c r="BB105" s="14">
        <f>IFERROR(VLOOKUP(D105,#REF!,2,0),0)</f>
        <v>0</v>
      </c>
      <c r="BC105" s="14" t="e">
        <f>MAX(VLOOKUP(D105,#REF!,13,0)-VLOOKUP(D105,#REF!,14,0),0)</f>
        <v>#REF!</v>
      </c>
      <c r="BD105" s="14">
        <f>IFERROR(VLOOKUP(D105,#REF!,3,0),0)</f>
        <v>0</v>
      </c>
      <c r="BE105" s="14" t="e">
        <f>MAX(VLOOKUP(D105,#REF!,22,0)-VLOOKUP(D105,#REF!,23,0),0)</f>
        <v>#REF!</v>
      </c>
      <c r="BF105" s="14" t="e">
        <f t="shared" si="54"/>
        <v>#REF!</v>
      </c>
      <c r="BG105" s="14" t="e">
        <f t="shared" si="55"/>
        <v>#REF!</v>
      </c>
      <c r="BH105" s="14">
        <v>0</v>
      </c>
      <c r="BI105" s="14"/>
      <c r="BJ105" s="14"/>
      <c r="BK105" s="14">
        <v>1027</v>
      </c>
      <c r="BL105" s="14">
        <f t="shared" si="56"/>
        <v>1027</v>
      </c>
      <c r="BM105" s="14">
        <f t="shared" si="57"/>
        <v>0</v>
      </c>
      <c r="BN105" s="14">
        <v>0</v>
      </c>
      <c r="BO105" s="14"/>
      <c r="BP105" s="14"/>
      <c r="BQ105" s="14"/>
      <c r="BR105" s="14">
        <v>0</v>
      </c>
      <c r="BS105" s="14"/>
      <c r="BT105" s="14">
        <v>0</v>
      </c>
      <c r="BU105" s="14"/>
      <c r="BV105" s="14">
        <v>0</v>
      </c>
      <c r="BW105" s="14"/>
      <c r="BX105" s="14">
        <v>140922</v>
      </c>
      <c r="BY105" s="14">
        <f t="shared" si="58"/>
        <v>140922</v>
      </c>
      <c r="BZ105" s="14">
        <f t="shared" si="59"/>
        <v>0</v>
      </c>
      <c r="CA105" s="14">
        <v>139895</v>
      </c>
      <c r="CB105" s="14">
        <f t="shared" si="60"/>
        <v>139895</v>
      </c>
      <c r="CC105" s="14">
        <f t="shared" si="61"/>
        <v>0</v>
      </c>
      <c r="CD105" s="14">
        <v>0</v>
      </c>
      <c r="CE105" s="14"/>
      <c r="CF105" s="14"/>
      <c r="CG105" s="14">
        <v>0</v>
      </c>
      <c r="CH105" s="14"/>
      <c r="CI105" s="14">
        <v>4471.8904000000002</v>
      </c>
      <c r="CJ105" s="14">
        <v>0.05</v>
      </c>
      <c r="CK105" s="14"/>
      <c r="CL105" s="14">
        <v>0</v>
      </c>
      <c r="CM105" s="14">
        <v>0.1</v>
      </c>
      <c r="CN105" s="14">
        <v>0</v>
      </c>
      <c r="CO105" s="14">
        <v>0</v>
      </c>
      <c r="CP105" s="14">
        <v>0</v>
      </c>
      <c r="CQ105" s="14"/>
      <c r="CR105" s="14">
        <v>0</v>
      </c>
      <c r="CS105" s="14"/>
      <c r="CT105" s="14">
        <v>1500</v>
      </c>
      <c r="CU105" s="14">
        <f t="shared" si="78"/>
        <v>1500</v>
      </c>
      <c r="CV105" s="14">
        <f t="shared" si="79"/>
        <v>0</v>
      </c>
      <c r="CW105" s="14">
        <v>6994.75</v>
      </c>
      <c r="CX105" s="14">
        <f t="shared" si="62"/>
        <v>6994.75</v>
      </c>
      <c r="CY105" s="14">
        <f t="shared" si="63"/>
        <v>0</v>
      </c>
      <c r="CZ105" s="14">
        <v>1500</v>
      </c>
      <c r="DA105" s="14">
        <f t="shared" si="64"/>
        <v>1500</v>
      </c>
      <c r="DB105" s="14">
        <f t="shared" si="65"/>
        <v>0</v>
      </c>
      <c r="DC105" s="14">
        <v>12489.5</v>
      </c>
      <c r="DD105" s="14">
        <f t="shared" si="66"/>
        <v>12489.5</v>
      </c>
      <c r="DE105" s="14">
        <f t="shared" si="67"/>
        <v>0</v>
      </c>
      <c r="DF105" s="14">
        <v>132427.25</v>
      </c>
      <c r="DG105" s="14">
        <f t="shared" si="68"/>
        <v>132427.25</v>
      </c>
      <c r="DH105" s="14">
        <f t="shared" si="69"/>
        <v>0</v>
      </c>
      <c r="DI105" s="14">
        <v>5012.0600000000004</v>
      </c>
      <c r="DJ105" s="14">
        <f>IFERROR(VLOOKUP(D105,#REF!,2,0),0)</f>
        <v>0</v>
      </c>
      <c r="DK105" s="14">
        <f t="shared" si="70"/>
        <v>-5012.0600000000004</v>
      </c>
      <c r="DL105" s="14">
        <v>140922</v>
      </c>
      <c r="DM105" s="14">
        <v>2481962.2799999998</v>
      </c>
      <c r="DN105" s="14">
        <v>11335</v>
      </c>
      <c r="DO105" s="14">
        <v>3875</v>
      </c>
      <c r="DP105" s="14">
        <v>0</v>
      </c>
      <c r="DQ105" s="14">
        <v>139895</v>
      </c>
      <c r="DR105" s="14">
        <v>28</v>
      </c>
      <c r="DS105" s="14">
        <v>0</v>
      </c>
      <c r="DT105" s="5" t="s">
        <v>206</v>
      </c>
      <c r="DU105" s="5" t="s">
        <v>195</v>
      </c>
      <c r="DV105" s="5" t="s">
        <v>196</v>
      </c>
      <c r="DW105" s="5" t="s">
        <v>197</v>
      </c>
    </row>
    <row r="106" spans="1:127" ht="16.5">
      <c r="A106" s="5" t="s">
        <v>184</v>
      </c>
      <c r="B106" s="5" t="s">
        <v>147</v>
      </c>
      <c r="C106" s="5" t="s">
        <v>148</v>
      </c>
      <c r="D106" s="5" t="s">
        <v>781</v>
      </c>
      <c r="E106" s="5" t="e">
        <f>VLOOKUP(D106,#REF!,1,0)</f>
        <v>#REF!</v>
      </c>
      <c r="F106" s="5" t="s">
        <v>462</v>
      </c>
      <c r="G106" s="5" t="s">
        <v>381</v>
      </c>
      <c r="H106" s="5" t="str">
        <f t="shared" si="45"/>
        <v>Siu Kwan Yuen</v>
      </c>
      <c r="I106" s="5" t="e">
        <f>VLOOKUP(D106,#REF!,9,0)</f>
        <v>#REF!</v>
      </c>
      <c r="J106" s="5" t="e">
        <f t="shared" si="46"/>
        <v>#REF!</v>
      </c>
      <c r="K106" s="5" t="s">
        <v>447</v>
      </c>
      <c r="L106" s="5" t="s">
        <v>151</v>
      </c>
      <c r="M106" s="5" t="s">
        <v>415</v>
      </c>
      <c r="N106" s="10" t="e">
        <f>VLOOKUP(D106,#REF!,80,0)</f>
        <v>#REF!</v>
      </c>
      <c r="O106" s="11" t="e">
        <f t="shared" si="47"/>
        <v>#REF!</v>
      </c>
      <c r="P106" s="5" t="s">
        <v>203</v>
      </c>
      <c r="Q106" s="5" t="e">
        <f>VLOOKUP(D106,#REF!,50,0)</f>
        <v>#REF!</v>
      </c>
      <c r="R106" s="5" t="e">
        <f t="shared" si="48"/>
        <v>#REF!</v>
      </c>
      <c r="S106" s="5" t="s">
        <v>204</v>
      </c>
      <c r="T106" s="5" t="e">
        <f>VLOOKUP(D106,#REF!,21,0)</f>
        <v>#REF!</v>
      </c>
      <c r="U106" s="5" t="e">
        <f t="shared" si="49"/>
        <v>#REF!</v>
      </c>
      <c r="V106" s="5" t="s">
        <v>205</v>
      </c>
      <c r="W106" s="5" t="e">
        <f>VLOOKUP(D106,#REF!,51,0)</f>
        <v>#REF!</v>
      </c>
      <c r="X106" s="5" t="e">
        <f t="shared" si="50"/>
        <v>#REF!</v>
      </c>
      <c r="Y106" s="5" t="s">
        <v>192</v>
      </c>
      <c r="Z106" s="5" t="s">
        <v>193</v>
      </c>
      <c r="AA106" s="14">
        <v>2.37</v>
      </c>
      <c r="AB106" s="14">
        <v>38200</v>
      </c>
      <c r="AC106" s="14" t="e">
        <f>ROUND(VLOOKUP(D106,#REF!,59,0),0)</f>
        <v>#REF!</v>
      </c>
      <c r="AD106" s="14" t="e">
        <f t="shared" si="73"/>
        <v>#REF!</v>
      </c>
      <c r="AE106" s="14">
        <v>38200</v>
      </c>
      <c r="AF106" s="14">
        <f t="shared" si="74"/>
        <v>38200</v>
      </c>
      <c r="AG106" s="14">
        <f t="shared" si="75"/>
        <v>0</v>
      </c>
      <c r="AH106" s="14">
        <v>0</v>
      </c>
      <c r="AI106" s="14"/>
      <c r="AJ106" s="14"/>
      <c r="AK106" s="14">
        <v>0</v>
      </c>
      <c r="AL106" s="14"/>
      <c r="AM106" s="14"/>
      <c r="AN106" s="14">
        <v>0</v>
      </c>
      <c r="AO106" s="14">
        <v>0</v>
      </c>
      <c r="AP106" s="14">
        <f>IFERROR(VLOOKUP('Feb for check'!D106,#REF!,15,0),0)</f>
        <v>0</v>
      </c>
      <c r="AQ106" s="14">
        <f t="shared" si="51"/>
        <v>0</v>
      </c>
      <c r="AR106" s="14">
        <v>0</v>
      </c>
      <c r="AS106" s="14">
        <f t="shared" si="52"/>
        <v>0</v>
      </c>
      <c r="AT106" s="14">
        <f t="shared" si="53"/>
        <v>0</v>
      </c>
      <c r="AU106" s="14">
        <v>0</v>
      </c>
      <c r="AV106" s="14"/>
      <c r="AW106" s="14">
        <v>0</v>
      </c>
      <c r="AX106" s="14"/>
      <c r="AY106" s="14">
        <v>0</v>
      </c>
      <c r="AZ106" s="14"/>
      <c r="BA106" s="14">
        <v>100.5</v>
      </c>
      <c r="BB106" s="14">
        <f>IFERROR(VLOOKUP(D106,#REF!,2,0),0)</f>
        <v>0</v>
      </c>
      <c r="BC106" s="14" t="e">
        <f>MAX(VLOOKUP(D106,#REF!,13,0)-VLOOKUP(D106,#REF!,14,0),0)</f>
        <v>#REF!</v>
      </c>
      <c r="BD106" s="14">
        <f>IFERROR(VLOOKUP(D106,#REF!,3,0),0)</f>
        <v>0</v>
      </c>
      <c r="BE106" s="14" t="e">
        <f>MAX(VLOOKUP(D106,#REF!,22,0)-VLOOKUP(D106,#REF!,23,0),0)</f>
        <v>#REF!</v>
      </c>
      <c r="BF106" s="14" t="e">
        <f t="shared" si="54"/>
        <v>#REF!</v>
      </c>
      <c r="BG106" s="14" t="e">
        <f t="shared" si="55"/>
        <v>#REF!</v>
      </c>
      <c r="BH106" s="14">
        <v>0</v>
      </c>
      <c r="BI106" s="14"/>
      <c r="BJ106" s="14"/>
      <c r="BK106" s="14">
        <v>110</v>
      </c>
      <c r="BL106" s="14">
        <f t="shared" si="56"/>
        <v>110</v>
      </c>
      <c r="BM106" s="14">
        <f t="shared" si="57"/>
        <v>0</v>
      </c>
      <c r="BN106" s="14">
        <v>0</v>
      </c>
      <c r="BO106" s="14"/>
      <c r="BP106" s="14"/>
      <c r="BQ106" s="14"/>
      <c r="BR106" s="14">
        <v>0</v>
      </c>
      <c r="BS106" s="14"/>
      <c r="BT106" s="14">
        <v>0</v>
      </c>
      <c r="BU106" s="14"/>
      <c r="BV106" s="14">
        <v>0</v>
      </c>
      <c r="BW106" s="14"/>
      <c r="BX106" s="14">
        <v>38410.5</v>
      </c>
      <c r="BY106" s="14">
        <f t="shared" si="58"/>
        <v>38410.5</v>
      </c>
      <c r="BZ106" s="14">
        <f t="shared" si="59"/>
        <v>0</v>
      </c>
      <c r="CA106" s="14">
        <v>38300.5</v>
      </c>
      <c r="CB106" s="14">
        <f t="shared" si="60"/>
        <v>38300.5</v>
      </c>
      <c r="CC106" s="14">
        <f t="shared" si="61"/>
        <v>0</v>
      </c>
      <c r="CD106" s="14">
        <v>0</v>
      </c>
      <c r="CE106" s="14"/>
      <c r="CF106" s="14"/>
      <c r="CG106" s="14">
        <v>0</v>
      </c>
      <c r="CH106" s="14"/>
      <c r="CI106" s="14">
        <v>1255.8904</v>
      </c>
      <c r="CJ106" s="14">
        <v>0</v>
      </c>
      <c r="CK106" s="14"/>
      <c r="CL106" s="14">
        <v>0</v>
      </c>
      <c r="CM106" s="14">
        <v>7.4999999999999997E-2</v>
      </c>
      <c r="CN106" s="14">
        <v>0</v>
      </c>
      <c r="CO106" s="14">
        <v>0</v>
      </c>
      <c r="CP106" s="14">
        <v>0</v>
      </c>
      <c r="CQ106" s="14"/>
      <c r="CR106" s="14">
        <v>0</v>
      </c>
      <c r="CS106" s="14"/>
      <c r="CT106" s="14">
        <v>1500</v>
      </c>
      <c r="CU106" s="14">
        <f t="shared" si="78"/>
        <v>1500</v>
      </c>
      <c r="CV106" s="14">
        <f t="shared" si="79"/>
        <v>0</v>
      </c>
      <c r="CW106" s="14">
        <v>0</v>
      </c>
      <c r="CX106" s="14">
        <f t="shared" si="62"/>
        <v>0</v>
      </c>
      <c r="CY106" s="14">
        <f t="shared" si="63"/>
        <v>0</v>
      </c>
      <c r="CZ106" s="14">
        <v>1500</v>
      </c>
      <c r="DA106" s="14">
        <f t="shared" si="64"/>
        <v>1500</v>
      </c>
      <c r="DB106" s="14">
        <f t="shared" si="65"/>
        <v>0</v>
      </c>
      <c r="DC106" s="14">
        <v>1372.54</v>
      </c>
      <c r="DD106" s="14">
        <f t="shared" si="66"/>
        <v>1372.54</v>
      </c>
      <c r="DE106" s="14">
        <f t="shared" si="67"/>
        <v>0</v>
      </c>
      <c r="DF106" s="14">
        <v>36910.5</v>
      </c>
      <c r="DG106" s="14">
        <f t="shared" si="68"/>
        <v>36910.5</v>
      </c>
      <c r="DH106" s="14">
        <f t="shared" si="69"/>
        <v>0</v>
      </c>
      <c r="DI106" s="14">
        <v>536.20000000000005</v>
      </c>
      <c r="DJ106" s="14">
        <f>IFERROR(VLOOKUP(D106,#REF!,2,0),0)</f>
        <v>0</v>
      </c>
      <c r="DK106" s="14">
        <f t="shared" si="70"/>
        <v>-536.20000000000005</v>
      </c>
      <c r="DL106" s="14">
        <v>38410.5</v>
      </c>
      <c r="DM106" s="14">
        <v>578140.51</v>
      </c>
      <c r="DN106" s="14">
        <v>3183.33</v>
      </c>
      <c r="DO106" s="14">
        <v>100.5</v>
      </c>
      <c r="DP106" s="14">
        <v>0</v>
      </c>
      <c r="DQ106" s="14">
        <v>38300.5</v>
      </c>
      <c r="DR106" s="14">
        <v>28</v>
      </c>
      <c r="DS106" s="14">
        <v>0</v>
      </c>
      <c r="DT106" s="5" t="s">
        <v>206</v>
      </c>
      <c r="DU106" s="5" t="s">
        <v>195</v>
      </c>
      <c r="DV106" s="5" t="s">
        <v>196</v>
      </c>
      <c r="DW106" s="5" t="s">
        <v>197</v>
      </c>
    </row>
    <row r="107" spans="1:127" ht="16.5">
      <c r="A107" s="5" t="s">
        <v>184</v>
      </c>
      <c r="B107" s="5" t="s">
        <v>147</v>
      </c>
      <c r="C107" s="5" t="s">
        <v>148</v>
      </c>
      <c r="D107" s="5" t="s">
        <v>782</v>
      </c>
      <c r="E107" s="5" t="e">
        <f>VLOOKUP(D107,#REF!,1,0)</f>
        <v>#REF!</v>
      </c>
      <c r="F107" s="5" t="s">
        <v>238</v>
      </c>
      <c r="G107" s="5" t="s">
        <v>783</v>
      </c>
      <c r="H107" s="5" t="str">
        <f t="shared" si="45"/>
        <v>Emily Lok Yee Leung</v>
      </c>
      <c r="I107" s="5" t="e">
        <f>VLOOKUP(D107,#REF!,9,0)</f>
        <v>#REF!</v>
      </c>
      <c r="J107" s="5" t="e">
        <f t="shared" si="46"/>
        <v>#REF!</v>
      </c>
      <c r="K107" s="5" t="s">
        <v>344</v>
      </c>
      <c r="L107" s="5" t="s">
        <v>151</v>
      </c>
      <c r="M107" s="5" t="s">
        <v>738</v>
      </c>
      <c r="N107" s="10" t="e">
        <f>VLOOKUP(D107,#REF!,80,0)</f>
        <v>#REF!</v>
      </c>
      <c r="O107" s="11" t="e">
        <f t="shared" si="47"/>
        <v>#REF!</v>
      </c>
      <c r="P107" s="5" t="s">
        <v>203</v>
      </c>
      <c r="Q107" s="5" t="e">
        <f>VLOOKUP(D107,#REF!,50,0)</f>
        <v>#REF!</v>
      </c>
      <c r="R107" s="5" t="e">
        <f t="shared" si="48"/>
        <v>#REF!</v>
      </c>
      <c r="S107" s="5" t="s">
        <v>204</v>
      </c>
      <c r="T107" s="5" t="e">
        <f>VLOOKUP(D107,#REF!,21,0)</f>
        <v>#REF!</v>
      </c>
      <c r="U107" s="5" t="e">
        <f t="shared" si="49"/>
        <v>#REF!</v>
      </c>
      <c r="V107" s="5" t="s">
        <v>205</v>
      </c>
      <c r="W107" s="5" t="e">
        <f>VLOOKUP(D107,#REF!,51,0)</f>
        <v>#REF!</v>
      </c>
      <c r="X107" s="5" t="e">
        <f t="shared" si="50"/>
        <v>#REF!</v>
      </c>
      <c r="Y107" s="5" t="s">
        <v>192</v>
      </c>
      <c r="Z107" s="5" t="s">
        <v>193</v>
      </c>
      <c r="AA107" s="14">
        <v>0.43</v>
      </c>
      <c r="AB107" s="14">
        <v>40269</v>
      </c>
      <c r="AC107" s="14" t="e">
        <f>ROUND(VLOOKUP(D107,#REF!,59,0),0)</f>
        <v>#REF!</v>
      </c>
      <c r="AD107" s="14" t="e">
        <f t="shared" si="73"/>
        <v>#REF!</v>
      </c>
      <c r="AE107" s="14">
        <v>40269</v>
      </c>
      <c r="AF107" s="14">
        <f t="shared" si="74"/>
        <v>40269</v>
      </c>
      <c r="AG107" s="14">
        <f t="shared" si="75"/>
        <v>0</v>
      </c>
      <c r="AH107" s="14">
        <v>0</v>
      </c>
      <c r="AI107" s="14"/>
      <c r="AJ107" s="14"/>
      <c r="AK107" s="14">
        <v>0</v>
      </c>
      <c r="AL107" s="14"/>
      <c r="AM107" s="14"/>
      <c r="AN107" s="14">
        <v>0</v>
      </c>
      <c r="AO107" s="14">
        <v>0</v>
      </c>
      <c r="AP107" s="14">
        <f>IFERROR(VLOOKUP('Feb for check'!D107,#REF!,15,0),0)</f>
        <v>0</v>
      </c>
      <c r="AQ107" s="14">
        <f t="shared" si="51"/>
        <v>0</v>
      </c>
      <c r="AR107" s="14">
        <v>0</v>
      </c>
      <c r="AS107" s="14">
        <f t="shared" si="52"/>
        <v>0</v>
      </c>
      <c r="AT107" s="14">
        <f t="shared" si="53"/>
        <v>0</v>
      </c>
      <c r="AU107" s="14">
        <v>0</v>
      </c>
      <c r="AV107" s="14"/>
      <c r="AW107" s="14">
        <v>0</v>
      </c>
      <c r="AX107" s="14"/>
      <c r="AY107" s="14">
        <v>0</v>
      </c>
      <c r="AZ107" s="14"/>
      <c r="BA107" s="14">
        <v>16.66</v>
      </c>
      <c r="BB107" s="14">
        <f>IFERROR(VLOOKUP(D107,#REF!,2,0),0)</f>
        <v>0</v>
      </c>
      <c r="BC107" s="14" t="e">
        <f>MAX(VLOOKUP(D107,#REF!,13,0)-VLOOKUP(D107,#REF!,14,0),0)</f>
        <v>#REF!</v>
      </c>
      <c r="BD107" s="14">
        <f>IFERROR(VLOOKUP(D107,#REF!,3,0),0)</f>
        <v>0</v>
      </c>
      <c r="BE107" s="14" t="e">
        <f>MAX(VLOOKUP(D107,#REF!,22,0)-VLOOKUP(D107,#REF!,23,0),0)</f>
        <v>#REF!</v>
      </c>
      <c r="BF107" s="14" t="e">
        <f t="shared" si="54"/>
        <v>#REF!</v>
      </c>
      <c r="BG107" s="14" t="e">
        <f t="shared" si="55"/>
        <v>#REF!</v>
      </c>
      <c r="BH107" s="14">
        <v>0</v>
      </c>
      <c r="BI107" s="14"/>
      <c r="BJ107" s="14"/>
      <c r="BK107" s="14">
        <v>0</v>
      </c>
      <c r="BL107" s="14">
        <f t="shared" si="56"/>
        <v>0</v>
      </c>
      <c r="BM107" s="14">
        <f t="shared" si="57"/>
        <v>0</v>
      </c>
      <c r="BN107" s="14">
        <v>0</v>
      </c>
      <c r="BO107" s="14"/>
      <c r="BP107" s="14"/>
      <c r="BQ107" s="14"/>
      <c r="BR107" s="14">
        <v>0</v>
      </c>
      <c r="BS107" s="14"/>
      <c r="BT107" s="14">
        <v>0</v>
      </c>
      <c r="BU107" s="14"/>
      <c r="BV107" s="14">
        <v>0</v>
      </c>
      <c r="BW107" s="14"/>
      <c r="BX107" s="14">
        <v>40285.660000000003</v>
      </c>
      <c r="BY107" s="14">
        <f t="shared" si="58"/>
        <v>40285.660000000003</v>
      </c>
      <c r="BZ107" s="14">
        <f t="shared" si="59"/>
        <v>0</v>
      </c>
      <c r="CA107" s="14">
        <v>40285.660000000003</v>
      </c>
      <c r="CB107" s="14">
        <f t="shared" si="60"/>
        <v>40285.660000000003</v>
      </c>
      <c r="CC107" s="14">
        <f t="shared" si="61"/>
        <v>0</v>
      </c>
      <c r="CD107" s="14">
        <v>0</v>
      </c>
      <c r="CE107" s="14"/>
      <c r="CF107" s="14"/>
      <c r="CG107" s="14">
        <v>0</v>
      </c>
      <c r="CH107" s="14"/>
      <c r="CI107" s="14">
        <v>1323.9123</v>
      </c>
      <c r="CJ107" s="14">
        <v>0</v>
      </c>
      <c r="CK107" s="14"/>
      <c r="CL107" s="14">
        <v>0</v>
      </c>
      <c r="CM107" s="14">
        <v>7.4999999999999997E-2</v>
      </c>
      <c r="CN107" s="14">
        <v>0</v>
      </c>
      <c r="CO107" s="14">
        <v>0</v>
      </c>
      <c r="CP107" s="14">
        <v>0</v>
      </c>
      <c r="CQ107" s="14"/>
      <c r="CR107" s="14">
        <v>0</v>
      </c>
      <c r="CS107" s="14"/>
      <c r="CT107" s="14">
        <v>1500</v>
      </c>
      <c r="CU107" s="14">
        <f t="shared" si="78"/>
        <v>1500</v>
      </c>
      <c r="CV107" s="14">
        <f t="shared" si="79"/>
        <v>0</v>
      </c>
      <c r="CW107" s="14">
        <v>0</v>
      </c>
      <c r="CX107" s="14">
        <f t="shared" si="62"/>
        <v>0</v>
      </c>
      <c r="CY107" s="14">
        <f t="shared" si="63"/>
        <v>0</v>
      </c>
      <c r="CZ107" s="14">
        <v>1500</v>
      </c>
      <c r="DA107" s="14">
        <f t="shared" si="64"/>
        <v>1500</v>
      </c>
      <c r="DB107" s="14">
        <f t="shared" si="65"/>
        <v>0</v>
      </c>
      <c r="DC107" s="14">
        <v>1521.42</v>
      </c>
      <c r="DD107" s="14">
        <f t="shared" si="66"/>
        <v>1521.42</v>
      </c>
      <c r="DE107" s="14">
        <f t="shared" si="67"/>
        <v>0</v>
      </c>
      <c r="DF107" s="14">
        <v>38785.660000000003</v>
      </c>
      <c r="DG107" s="14">
        <f t="shared" si="68"/>
        <v>38785.660000000003</v>
      </c>
      <c r="DH107" s="14">
        <f t="shared" si="69"/>
        <v>0</v>
      </c>
      <c r="DI107" s="14">
        <v>0</v>
      </c>
      <c r="DJ107" s="14">
        <f>IFERROR(VLOOKUP(D107,#REF!,2,0),0)</f>
        <v>0</v>
      </c>
      <c r="DK107" s="14">
        <f t="shared" si="70"/>
        <v>0</v>
      </c>
      <c r="DL107" s="14">
        <v>40285.660000000003</v>
      </c>
      <c r="DM107" s="14">
        <v>222151.95</v>
      </c>
      <c r="DN107" s="14">
        <v>3355.75</v>
      </c>
      <c r="DO107" s="14">
        <v>16.66</v>
      </c>
      <c r="DP107" s="14">
        <v>0</v>
      </c>
      <c r="DQ107" s="14">
        <v>40285.660000000003</v>
      </c>
      <c r="DR107" s="14">
        <v>28</v>
      </c>
      <c r="DS107" s="14">
        <v>0</v>
      </c>
      <c r="DT107" s="5" t="s">
        <v>206</v>
      </c>
      <c r="DU107" s="5" t="s">
        <v>195</v>
      </c>
      <c r="DV107" s="5" t="s">
        <v>196</v>
      </c>
      <c r="DW107" s="5" t="s">
        <v>197</v>
      </c>
    </row>
    <row r="108" spans="1:127" ht="16.5">
      <c r="A108" s="5" t="s">
        <v>184</v>
      </c>
      <c r="B108" s="5" t="s">
        <v>147</v>
      </c>
      <c r="C108" s="5" t="s">
        <v>148</v>
      </c>
      <c r="D108" s="5" t="s">
        <v>784</v>
      </c>
      <c r="E108" s="5" t="e">
        <f>VLOOKUP(D108,#REF!,1,0)</f>
        <v>#REF!</v>
      </c>
      <c r="F108" s="5" t="s">
        <v>583</v>
      </c>
      <c r="G108" s="5" t="s">
        <v>303</v>
      </c>
      <c r="H108" s="5" t="str">
        <f t="shared" si="45"/>
        <v>Agnes Cheng</v>
      </c>
      <c r="I108" s="5" t="e">
        <f>VLOOKUP(D108,#REF!,9,0)</f>
        <v>#REF!</v>
      </c>
      <c r="J108" s="5" t="e">
        <f t="shared" si="46"/>
        <v>#REF!</v>
      </c>
      <c r="K108" s="5" t="s">
        <v>303</v>
      </c>
      <c r="L108" s="5" t="s">
        <v>151</v>
      </c>
      <c r="M108" s="5" t="s">
        <v>785</v>
      </c>
      <c r="N108" s="10" t="e">
        <f>VLOOKUP(D108,#REF!,80,0)</f>
        <v>#REF!</v>
      </c>
      <c r="O108" s="11" t="e">
        <f t="shared" si="47"/>
        <v>#REF!</v>
      </c>
      <c r="P108" s="5" t="s">
        <v>275</v>
      </c>
      <c r="Q108" s="5" t="e">
        <f>VLOOKUP(D108,#REF!,50,0)</f>
        <v>#REF!</v>
      </c>
      <c r="R108" s="5" t="e">
        <f t="shared" si="48"/>
        <v>#REF!</v>
      </c>
      <c r="S108" s="5" t="s">
        <v>786</v>
      </c>
      <c r="T108" s="5" t="e">
        <f>VLOOKUP(D108,#REF!,21,0)</f>
        <v>#REF!</v>
      </c>
      <c r="U108" s="5" t="e">
        <f t="shared" si="49"/>
        <v>#REF!</v>
      </c>
      <c r="V108" s="5" t="s">
        <v>277</v>
      </c>
      <c r="W108" s="5" t="e">
        <f>VLOOKUP(D108,#REF!,51,0)</f>
        <v>#REF!</v>
      </c>
      <c r="X108" s="5" t="e">
        <f t="shared" si="50"/>
        <v>#REF!</v>
      </c>
      <c r="Y108" s="5" t="s">
        <v>192</v>
      </c>
      <c r="Z108" s="5" t="s">
        <v>193</v>
      </c>
      <c r="AA108" s="14">
        <v>0.66</v>
      </c>
      <c r="AB108" s="14">
        <v>38500</v>
      </c>
      <c r="AC108" s="14" t="e">
        <f>ROUND(VLOOKUP(D108,#REF!,59,0),0)</f>
        <v>#REF!</v>
      </c>
      <c r="AD108" s="14" t="e">
        <f t="shared" si="73"/>
        <v>#REF!</v>
      </c>
      <c r="AE108" s="14">
        <v>38500</v>
      </c>
      <c r="AF108" s="14">
        <f t="shared" si="74"/>
        <v>38500</v>
      </c>
      <c r="AG108" s="14">
        <f t="shared" si="75"/>
        <v>0</v>
      </c>
      <c r="AH108" s="14">
        <v>0</v>
      </c>
      <c r="AI108" s="14"/>
      <c r="AJ108" s="14"/>
      <c r="AK108" s="14">
        <v>0</v>
      </c>
      <c r="AL108" s="14"/>
      <c r="AM108" s="14"/>
      <c r="AN108" s="14">
        <v>0</v>
      </c>
      <c r="AO108" s="14">
        <v>2500</v>
      </c>
      <c r="AP108" s="14">
        <f>IFERROR(VLOOKUP('Feb for check'!D108,#REF!,15,0),0)</f>
        <v>0</v>
      </c>
      <c r="AQ108" s="14">
        <f t="shared" si="51"/>
        <v>-2500</v>
      </c>
      <c r="AR108" s="14">
        <v>2500</v>
      </c>
      <c r="AS108" s="14">
        <f t="shared" si="52"/>
        <v>2500</v>
      </c>
      <c r="AT108" s="14">
        <f t="shared" si="53"/>
        <v>0</v>
      </c>
      <c r="AU108" s="14">
        <v>0</v>
      </c>
      <c r="AV108" s="14"/>
      <c r="AW108" s="14">
        <v>0</v>
      </c>
      <c r="AX108" s="14"/>
      <c r="AY108" s="14">
        <v>0</v>
      </c>
      <c r="AZ108" s="14"/>
      <c r="BA108" s="14">
        <v>782.25</v>
      </c>
      <c r="BB108" s="14">
        <f>IFERROR(VLOOKUP(D108,#REF!,2,0),0)</f>
        <v>0</v>
      </c>
      <c r="BC108" s="14" t="e">
        <f>MAX(VLOOKUP(D108,#REF!,13,0)-VLOOKUP(D108,#REF!,14,0),0)</f>
        <v>#REF!</v>
      </c>
      <c r="BD108" s="14">
        <f>IFERROR(VLOOKUP(D108,#REF!,3,0),0)</f>
        <v>0</v>
      </c>
      <c r="BE108" s="14" t="e">
        <f>MAX(VLOOKUP(D108,#REF!,22,0)-VLOOKUP(D108,#REF!,23,0),0)</f>
        <v>#REF!</v>
      </c>
      <c r="BF108" s="14" t="e">
        <f t="shared" si="54"/>
        <v>#REF!</v>
      </c>
      <c r="BG108" s="14" t="e">
        <f t="shared" si="55"/>
        <v>#REF!</v>
      </c>
      <c r="BH108" s="14">
        <v>0</v>
      </c>
      <c r="BI108" s="14"/>
      <c r="BJ108" s="14"/>
      <c r="BK108" s="14">
        <v>0</v>
      </c>
      <c r="BL108" s="14">
        <f t="shared" si="56"/>
        <v>0</v>
      </c>
      <c r="BM108" s="14">
        <f t="shared" si="57"/>
        <v>0</v>
      </c>
      <c r="BN108" s="14">
        <v>0</v>
      </c>
      <c r="BO108" s="14"/>
      <c r="BP108" s="14"/>
      <c r="BQ108" s="14"/>
      <c r="BR108" s="14">
        <v>0</v>
      </c>
      <c r="BS108" s="14"/>
      <c r="BT108" s="14">
        <v>0</v>
      </c>
      <c r="BU108" s="14"/>
      <c r="BV108" s="14">
        <v>0</v>
      </c>
      <c r="BW108" s="14"/>
      <c r="BX108" s="14">
        <v>41782.25</v>
      </c>
      <c r="BY108" s="14">
        <f t="shared" si="58"/>
        <v>41782.25</v>
      </c>
      <c r="BZ108" s="14">
        <f t="shared" si="59"/>
        <v>0</v>
      </c>
      <c r="CA108" s="14">
        <v>39282.25</v>
      </c>
      <c r="CB108" s="14">
        <f t="shared" si="60"/>
        <v>39282.25</v>
      </c>
      <c r="CC108" s="14">
        <f t="shared" si="61"/>
        <v>0</v>
      </c>
      <c r="CD108" s="14">
        <v>0</v>
      </c>
      <c r="CE108" s="14"/>
      <c r="CF108" s="14"/>
      <c r="CG108" s="14">
        <v>0</v>
      </c>
      <c r="CH108" s="14"/>
      <c r="CI108" s="14">
        <v>1347.9452000000001</v>
      </c>
      <c r="CJ108" s="14">
        <v>0</v>
      </c>
      <c r="CK108" s="14"/>
      <c r="CL108" s="14">
        <v>0</v>
      </c>
      <c r="CM108" s="14">
        <v>7.4999999999999997E-2</v>
      </c>
      <c r="CN108" s="14">
        <v>0</v>
      </c>
      <c r="CO108" s="14">
        <v>0</v>
      </c>
      <c r="CP108" s="14">
        <v>0</v>
      </c>
      <c r="CQ108" s="14"/>
      <c r="CR108" s="14">
        <v>0</v>
      </c>
      <c r="CS108" s="14"/>
      <c r="CT108" s="14">
        <v>1500</v>
      </c>
      <c r="CU108" s="14">
        <f t="shared" si="78"/>
        <v>1500</v>
      </c>
      <c r="CV108" s="14">
        <f t="shared" si="79"/>
        <v>0</v>
      </c>
      <c r="CW108" s="14">
        <v>0</v>
      </c>
      <c r="CX108" s="14">
        <f t="shared" si="62"/>
        <v>0</v>
      </c>
      <c r="CY108" s="14">
        <f t="shared" si="63"/>
        <v>0</v>
      </c>
      <c r="CZ108" s="14">
        <v>1500</v>
      </c>
      <c r="DA108" s="14">
        <f t="shared" si="64"/>
        <v>1500</v>
      </c>
      <c r="DB108" s="14">
        <f t="shared" si="65"/>
        <v>0</v>
      </c>
      <c r="DC108" s="14">
        <v>1446.17</v>
      </c>
      <c r="DD108" s="14">
        <f t="shared" si="66"/>
        <v>1446.17</v>
      </c>
      <c r="DE108" s="14">
        <f t="shared" si="67"/>
        <v>0</v>
      </c>
      <c r="DF108" s="14">
        <v>40282.25</v>
      </c>
      <c r="DG108" s="14">
        <f t="shared" si="68"/>
        <v>40282.25</v>
      </c>
      <c r="DH108" s="14">
        <f t="shared" si="69"/>
        <v>0</v>
      </c>
      <c r="DI108" s="14">
        <v>0</v>
      </c>
      <c r="DJ108" s="14">
        <f>IFERROR(VLOOKUP(D108,#REF!,2,0),0)</f>
        <v>0</v>
      </c>
      <c r="DK108" s="14">
        <f t="shared" si="70"/>
        <v>0</v>
      </c>
      <c r="DL108" s="14">
        <v>39282.25</v>
      </c>
      <c r="DM108" s="14">
        <v>483002.86</v>
      </c>
      <c r="DN108" s="14">
        <v>3208.33</v>
      </c>
      <c r="DO108" s="14">
        <v>782.25</v>
      </c>
      <c r="DP108" s="14">
        <v>0</v>
      </c>
      <c r="DQ108" s="14">
        <v>41782.25</v>
      </c>
      <c r="DR108" s="14">
        <v>28</v>
      </c>
      <c r="DS108" s="14">
        <v>0</v>
      </c>
      <c r="DT108" s="5" t="s">
        <v>206</v>
      </c>
      <c r="DU108" s="5" t="s">
        <v>195</v>
      </c>
      <c r="DV108" s="5" t="s">
        <v>196</v>
      </c>
      <c r="DW108" s="5" t="s">
        <v>197</v>
      </c>
    </row>
    <row r="109" spans="1:127" ht="16.5">
      <c r="A109" s="5" t="s">
        <v>184</v>
      </c>
      <c r="B109" s="5" t="s">
        <v>147</v>
      </c>
      <c r="C109" s="5" t="s">
        <v>148</v>
      </c>
      <c r="D109" s="5" t="s">
        <v>787</v>
      </c>
      <c r="E109" s="5" t="e">
        <f>VLOOKUP(D109,#REF!,1,0)</f>
        <v>#REF!</v>
      </c>
      <c r="F109" s="5" t="s">
        <v>788</v>
      </c>
      <c r="G109" s="5" t="s">
        <v>789</v>
      </c>
      <c r="H109" s="5" t="str">
        <f t="shared" si="45"/>
        <v>Rigil Kent Yeung</v>
      </c>
      <c r="I109" s="5" t="e">
        <f>VLOOKUP(D109,#REF!,9,0)</f>
        <v>#REF!</v>
      </c>
      <c r="J109" s="5" t="e">
        <f t="shared" si="46"/>
        <v>#REF!</v>
      </c>
      <c r="K109" s="5" t="s">
        <v>790</v>
      </c>
      <c r="L109" s="5" t="s">
        <v>151</v>
      </c>
      <c r="M109" s="5" t="s">
        <v>485</v>
      </c>
      <c r="N109" s="10" t="e">
        <f>VLOOKUP(D109,#REF!,80,0)</f>
        <v>#REF!</v>
      </c>
      <c r="O109" s="11" t="e">
        <f t="shared" si="47"/>
        <v>#REF!</v>
      </c>
      <c r="P109" s="5" t="s">
        <v>479</v>
      </c>
      <c r="Q109" s="5" t="e">
        <f>VLOOKUP(D109,#REF!,50,0)</f>
        <v>#REF!</v>
      </c>
      <c r="R109" s="5" t="e">
        <f t="shared" si="48"/>
        <v>#REF!</v>
      </c>
      <c r="S109" s="5" t="s">
        <v>770</v>
      </c>
      <c r="T109" s="5" t="e">
        <f>VLOOKUP(D109,#REF!,21,0)</f>
        <v>#REF!</v>
      </c>
      <c r="U109" s="5" t="e">
        <f t="shared" si="49"/>
        <v>#REF!</v>
      </c>
      <c r="V109" s="5" t="s">
        <v>481</v>
      </c>
      <c r="W109" s="5" t="e">
        <f>VLOOKUP(D109,#REF!,51,0)</f>
        <v>#REF!</v>
      </c>
      <c r="X109" s="5" t="e">
        <f t="shared" si="50"/>
        <v>#REF!</v>
      </c>
      <c r="Y109" s="5" t="s">
        <v>192</v>
      </c>
      <c r="Z109" s="5" t="s">
        <v>193</v>
      </c>
      <c r="AA109" s="14">
        <v>2.14</v>
      </c>
      <c r="AB109" s="14">
        <v>48239</v>
      </c>
      <c r="AC109" s="14" t="e">
        <f>ROUND(VLOOKUP(D109,#REF!,59,0),0)</f>
        <v>#REF!</v>
      </c>
      <c r="AD109" s="14" t="e">
        <f t="shared" si="73"/>
        <v>#REF!</v>
      </c>
      <c r="AE109" s="14">
        <v>48239</v>
      </c>
      <c r="AF109" s="14">
        <f t="shared" si="74"/>
        <v>48239</v>
      </c>
      <c r="AG109" s="14">
        <f t="shared" si="75"/>
        <v>0</v>
      </c>
      <c r="AH109" s="14">
        <v>0</v>
      </c>
      <c r="AI109" s="14"/>
      <c r="AJ109" s="14"/>
      <c r="AK109" s="14">
        <v>0</v>
      </c>
      <c r="AL109" s="14"/>
      <c r="AM109" s="14"/>
      <c r="AN109" s="14">
        <v>0</v>
      </c>
      <c r="AO109" s="14">
        <v>0</v>
      </c>
      <c r="AP109" s="14">
        <f>IFERROR(VLOOKUP('Feb for check'!D109,#REF!,15,0),0)</f>
        <v>0</v>
      </c>
      <c r="AQ109" s="14">
        <f t="shared" si="51"/>
        <v>0</v>
      </c>
      <c r="AR109" s="14">
        <v>0</v>
      </c>
      <c r="AS109" s="14">
        <f t="shared" si="52"/>
        <v>0</v>
      </c>
      <c r="AT109" s="14">
        <f t="shared" si="53"/>
        <v>0</v>
      </c>
      <c r="AU109" s="14">
        <v>0</v>
      </c>
      <c r="AV109" s="14"/>
      <c r="AW109" s="14">
        <v>0</v>
      </c>
      <c r="AX109" s="14"/>
      <c r="AY109" s="14">
        <v>0</v>
      </c>
      <c r="AZ109" s="14"/>
      <c r="BA109" s="14">
        <v>220.71</v>
      </c>
      <c r="BB109" s="14">
        <f>IFERROR(VLOOKUP(D109,#REF!,2,0),0)</f>
        <v>0</v>
      </c>
      <c r="BC109" s="14" t="e">
        <f>MAX(VLOOKUP(D109,#REF!,13,0)-VLOOKUP(D109,#REF!,14,0),0)</f>
        <v>#REF!</v>
      </c>
      <c r="BD109" s="14">
        <f>IFERROR(VLOOKUP(D109,#REF!,3,0),0)</f>
        <v>0</v>
      </c>
      <c r="BE109" s="14" t="e">
        <f>MAX(VLOOKUP(D109,#REF!,22,0)-VLOOKUP(D109,#REF!,23,0),0)</f>
        <v>#REF!</v>
      </c>
      <c r="BF109" s="14" t="e">
        <f t="shared" si="54"/>
        <v>#REF!</v>
      </c>
      <c r="BG109" s="14" t="e">
        <f t="shared" si="55"/>
        <v>#REF!</v>
      </c>
      <c r="BH109" s="14">
        <v>0</v>
      </c>
      <c r="BI109" s="14"/>
      <c r="BJ109" s="14"/>
      <c r="BK109" s="14">
        <v>1027</v>
      </c>
      <c r="BL109" s="14">
        <f t="shared" si="56"/>
        <v>1027</v>
      </c>
      <c r="BM109" s="14">
        <f t="shared" si="57"/>
        <v>0</v>
      </c>
      <c r="BN109" s="14">
        <v>0</v>
      </c>
      <c r="BO109" s="14"/>
      <c r="BP109" s="14"/>
      <c r="BQ109" s="14"/>
      <c r="BR109" s="14">
        <v>0</v>
      </c>
      <c r="BS109" s="14"/>
      <c r="BT109" s="14">
        <v>0</v>
      </c>
      <c r="BU109" s="14"/>
      <c r="BV109" s="14">
        <v>0</v>
      </c>
      <c r="BW109" s="14"/>
      <c r="BX109" s="14">
        <v>49486.71</v>
      </c>
      <c r="BY109" s="14">
        <f t="shared" si="58"/>
        <v>49486.71</v>
      </c>
      <c r="BZ109" s="14">
        <f t="shared" si="59"/>
        <v>0</v>
      </c>
      <c r="CA109" s="14">
        <v>48459.71</v>
      </c>
      <c r="CB109" s="14">
        <f t="shared" si="60"/>
        <v>48459.71</v>
      </c>
      <c r="CC109" s="14">
        <f t="shared" si="61"/>
        <v>0</v>
      </c>
      <c r="CD109" s="14">
        <v>0</v>
      </c>
      <c r="CE109" s="14"/>
      <c r="CF109" s="14"/>
      <c r="CG109" s="14">
        <v>0</v>
      </c>
      <c r="CH109" s="14"/>
      <c r="CI109" s="14">
        <v>1585.9396999999999</v>
      </c>
      <c r="CJ109" s="14">
        <v>0</v>
      </c>
      <c r="CK109" s="14"/>
      <c r="CL109" s="14">
        <v>0</v>
      </c>
      <c r="CM109" s="14">
        <v>7.4999999999999997E-2</v>
      </c>
      <c r="CN109" s="14">
        <v>0</v>
      </c>
      <c r="CO109" s="14">
        <v>0</v>
      </c>
      <c r="CP109" s="14">
        <v>0</v>
      </c>
      <c r="CQ109" s="14"/>
      <c r="CR109" s="14">
        <v>0</v>
      </c>
      <c r="CS109" s="14"/>
      <c r="CT109" s="14">
        <v>1500</v>
      </c>
      <c r="CU109" s="14">
        <f t="shared" si="78"/>
        <v>1500</v>
      </c>
      <c r="CV109" s="14">
        <f t="shared" si="79"/>
        <v>0</v>
      </c>
      <c r="CW109" s="14">
        <v>0</v>
      </c>
      <c r="CX109" s="14">
        <f t="shared" si="62"/>
        <v>0</v>
      </c>
      <c r="CY109" s="14">
        <f t="shared" si="63"/>
        <v>0</v>
      </c>
      <c r="CZ109" s="14">
        <v>1500</v>
      </c>
      <c r="DA109" s="14">
        <f t="shared" si="64"/>
        <v>1500</v>
      </c>
      <c r="DB109" s="14">
        <f t="shared" si="65"/>
        <v>0</v>
      </c>
      <c r="DC109" s="14">
        <v>2134.48</v>
      </c>
      <c r="DD109" s="14">
        <f t="shared" si="66"/>
        <v>2134.48</v>
      </c>
      <c r="DE109" s="14">
        <f t="shared" si="67"/>
        <v>0</v>
      </c>
      <c r="DF109" s="14">
        <v>47986.71</v>
      </c>
      <c r="DG109" s="14">
        <f t="shared" si="68"/>
        <v>47986.71</v>
      </c>
      <c r="DH109" s="14">
        <f t="shared" si="69"/>
        <v>0</v>
      </c>
      <c r="DI109" s="14">
        <v>5012.0600000000004</v>
      </c>
      <c r="DJ109" s="14">
        <f>IFERROR(VLOOKUP(D109,#REF!,2,0),0)</f>
        <v>0</v>
      </c>
      <c r="DK109" s="14">
        <f t="shared" si="70"/>
        <v>-5012.0600000000004</v>
      </c>
      <c r="DL109" s="14">
        <v>49486.71</v>
      </c>
      <c r="DM109" s="14">
        <v>795032.67</v>
      </c>
      <c r="DN109" s="14">
        <v>4019.92</v>
      </c>
      <c r="DO109" s="14">
        <v>220.71</v>
      </c>
      <c r="DP109" s="14">
        <v>0</v>
      </c>
      <c r="DQ109" s="14">
        <v>48459.71</v>
      </c>
      <c r="DR109" s="14">
        <v>28</v>
      </c>
      <c r="DS109" s="14">
        <v>0</v>
      </c>
      <c r="DT109" s="5" t="s">
        <v>206</v>
      </c>
      <c r="DU109" s="5" t="s">
        <v>195</v>
      </c>
      <c r="DV109" s="5" t="s">
        <v>196</v>
      </c>
      <c r="DW109" s="5" t="s">
        <v>197</v>
      </c>
    </row>
    <row r="110" spans="1:127" ht="16.5">
      <c r="A110" s="5" t="s">
        <v>184</v>
      </c>
      <c r="B110" s="5" t="s">
        <v>147</v>
      </c>
      <c r="C110" s="5" t="s">
        <v>148</v>
      </c>
      <c r="D110" s="5" t="s">
        <v>791</v>
      </c>
      <c r="E110" s="5" t="e">
        <f>VLOOKUP(D110,#REF!,1,0)</f>
        <v>#REF!</v>
      </c>
      <c r="F110" s="5" t="s">
        <v>279</v>
      </c>
      <c r="G110" s="5" t="s">
        <v>792</v>
      </c>
      <c r="H110" s="5" t="str">
        <f t="shared" si="45"/>
        <v>Qi Lin</v>
      </c>
      <c r="I110" s="5" t="e">
        <f>VLOOKUP(D110,#REF!,9,0)</f>
        <v>#REF!</v>
      </c>
      <c r="J110" s="5" t="e">
        <f t="shared" si="46"/>
        <v>#REF!</v>
      </c>
      <c r="K110" s="5" t="s">
        <v>720</v>
      </c>
      <c r="L110" s="5" t="s">
        <v>151</v>
      </c>
      <c r="M110" s="5" t="s">
        <v>793</v>
      </c>
      <c r="N110" s="10" t="e">
        <f>VLOOKUP(D110,#REF!,80,0)</f>
        <v>#REF!</v>
      </c>
      <c r="O110" s="11" t="e">
        <f t="shared" si="47"/>
        <v>#REF!</v>
      </c>
      <c r="P110" s="5" t="s">
        <v>203</v>
      </c>
      <c r="Q110" s="5" t="e">
        <f>VLOOKUP(D110,#REF!,50,0)</f>
        <v>#REF!</v>
      </c>
      <c r="R110" s="5" t="e">
        <f t="shared" si="48"/>
        <v>#REF!</v>
      </c>
      <c r="S110" s="5" t="s">
        <v>204</v>
      </c>
      <c r="T110" s="5" t="e">
        <f>VLOOKUP(D110,#REF!,21,0)</f>
        <v>#REF!</v>
      </c>
      <c r="U110" s="5" t="e">
        <f t="shared" si="49"/>
        <v>#REF!</v>
      </c>
      <c r="V110" s="5" t="s">
        <v>205</v>
      </c>
      <c r="W110" s="5" t="e">
        <f>VLOOKUP(D110,#REF!,51,0)</f>
        <v>#REF!</v>
      </c>
      <c r="X110" s="5" t="e">
        <f t="shared" si="50"/>
        <v>#REF!</v>
      </c>
      <c r="Y110" s="5" t="s">
        <v>192</v>
      </c>
      <c r="Z110" s="5" t="s">
        <v>193</v>
      </c>
      <c r="AA110" s="14">
        <v>0.78</v>
      </c>
      <c r="AB110" s="14">
        <v>43000</v>
      </c>
      <c r="AC110" s="14" t="e">
        <f>ROUND(VLOOKUP(D110,#REF!,59,0),0)</f>
        <v>#REF!</v>
      </c>
      <c r="AD110" s="14" t="e">
        <f t="shared" si="73"/>
        <v>#REF!</v>
      </c>
      <c r="AE110" s="14">
        <v>43000</v>
      </c>
      <c r="AF110" s="14">
        <f t="shared" si="74"/>
        <v>43000</v>
      </c>
      <c r="AG110" s="14">
        <f t="shared" si="75"/>
        <v>0</v>
      </c>
      <c r="AH110" s="14">
        <v>0</v>
      </c>
      <c r="AI110" s="14"/>
      <c r="AJ110" s="14"/>
      <c r="AK110" s="14">
        <v>0</v>
      </c>
      <c r="AL110" s="14"/>
      <c r="AM110" s="14"/>
      <c r="AN110" s="14">
        <v>0</v>
      </c>
      <c r="AO110" s="14">
        <v>0</v>
      </c>
      <c r="AP110" s="14">
        <f>IFERROR(VLOOKUP('Feb for check'!D110,#REF!,15,0),0)</f>
        <v>0</v>
      </c>
      <c r="AQ110" s="14">
        <f t="shared" si="51"/>
        <v>0</v>
      </c>
      <c r="AR110" s="14">
        <v>0</v>
      </c>
      <c r="AS110" s="14">
        <f t="shared" si="52"/>
        <v>0</v>
      </c>
      <c r="AT110" s="14">
        <f t="shared" si="53"/>
        <v>0</v>
      </c>
      <c r="AU110" s="14">
        <v>0</v>
      </c>
      <c r="AV110" s="14"/>
      <c r="AW110" s="14">
        <v>0</v>
      </c>
      <c r="AX110" s="14"/>
      <c r="AY110" s="14">
        <v>0</v>
      </c>
      <c r="AZ110" s="14"/>
      <c r="BA110" s="14">
        <v>0</v>
      </c>
      <c r="BB110" s="14">
        <f>IFERROR(VLOOKUP(D110,#REF!,2,0),0)</f>
        <v>0</v>
      </c>
      <c r="BC110" s="14" t="e">
        <f>MAX(VLOOKUP(D110,#REF!,13,0)-VLOOKUP(D110,#REF!,14,0),0)</f>
        <v>#REF!</v>
      </c>
      <c r="BD110" s="14">
        <f>IFERROR(VLOOKUP(D110,#REF!,3,0),0)</f>
        <v>0</v>
      </c>
      <c r="BE110" s="14" t="e">
        <f>MAX(VLOOKUP(D110,#REF!,22,0)-VLOOKUP(D110,#REF!,23,0),0)</f>
        <v>#REF!</v>
      </c>
      <c r="BF110" s="14" t="e">
        <f t="shared" si="54"/>
        <v>#REF!</v>
      </c>
      <c r="BG110" s="14" t="e">
        <f t="shared" si="55"/>
        <v>#REF!</v>
      </c>
      <c r="BH110" s="14">
        <v>0</v>
      </c>
      <c r="BI110" s="14"/>
      <c r="BJ110" s="14"/>
      <c r="BK110" s="14">
        <v>110</v>
      </c>
      <c r="BL110" s="14">
        <f t="shared" si="56"/>
        <v>110</v>
      </c>
      <c r="BM110" s="14">
        <f t="shared" si="57"/>
        <v>0</v>
      </c>
      <c r="BN110" s="14">
        <v>0</v>
      </c>
      <c r="BO110" s="14"/>
      <c r="BP110" s="14"/>
      <c r="BQ110" s="14"/>
      <c r="BR110" s="14">
        <v>0</v>
      </c>
      <c r="BS110" s="14"/>
      <c r="BT110" s="14">
        <v>0</v>
      </c>
      <c r="BU110" s="14"/>
      <c r="BV110" s="14">
        <v>0</v>
      </c>
      <c r="BW110" s="14"/>
      <c r="BX110" s="14">
        <v>43110</v>
      </c>
      <c r="BY110" s="14">
        <f t="shared" si="58"/>
        <v>43110</v>
      </c>
      <c r="BZ110" s="14">
        <f t="shared" si="59"/>
        <v>0</v>
      </c>
      <c r="CA110" s="14">
        <v>43000</v>
      </c>
      <c r="CB110" s="14">
        <f t="shared" si="60"/>
        <v>43000</v>
      </c>
      <c r="CC110" s="14">
        <f t="shared" si="61"/>
        <v>0</v>
      </c>
      <c r="CD110" s="14">
        <v>0</v>
      </c>
      <c r="CE110" s="14"/>
      <c r="CF110" s="14"/>
      <c r="CG110" s="14">
        <v>0</v>
      </c>
      <c r="CH110" s="14"/>
      <c r="CI110" s="14">
        <v>1413.6985999999999</v>
      </c>
      <c r="CJ110" s="14">
        <v>0</v>
      </c>
      <c r="CK110" s="14"/>
      <c r="CL110" s="14">
        <v>0</v>
      </c>
      <c r="CM110" s="14">
        <v>7.4999999999999997E-2</v>
      </c>
      <c r="CN110" s="14">
        <v>0</v>
      </c>
      <c r="CO110" s="14">
        <v>0</v>
      </c>
      <c r="CP110" s="14">
        <v>0</v>
      </c>
      <c r="CQ110" s="14"/>
      <c r="CR110" s="14">
        <v>0</v>
      </c>
      <c r="CS110" s="14"/>
      <c r="CT110" s="14">
        <v>1500</v>
      </c>
      <c r="CU110" s="14">
        <f t="shared" si="78"/>
        <v>1500</v>
      </c>
      <c r="CV110" s="14">
        <f t="shared" si="79"/>
        <v>0</v>
      </c>
      <c r="CW110" s="14">
        <v>0</v>
      </c>
      <c r="CX110" s="14">
        <f t="shared" si="62"/>
        <v>0</v>
      </c>
      <c r="CY110" s="14">
        <f t="shared" si="63"/>
        <v>0</v>
      </c>
      <c r="CZ110" s="14">
        <v>1500</v>
      </c>
      <c r="DA110" s="14">
        <f t="shared" si="64"/>
        <v>1500</v>
      </c>
      <c r="DB110" s="14">
        <f t="shared" si="65"/>
        <v>0</v>
      </c>
      <c r="DC110" s="14">
        <v>1725</v>
      </c>
      <c r="DD110" s="14">
        <f t="shared" si="66"/>
        <v>1725</v>
      </c>
      <c r="DE110" s="14">
        <f t="shared" si="67"/>
        <v>0</v>
      </c>
      <c r="DF110" s="14">
        <v>41610</v>
      </c>
      <c r="DG110" s="14">
        <f t="shared" si="68"/>
        <v>41610</v>
      </c>
      <c r="DH110" s="14">
        <f t="shared" si="69"/>
        <v>0</v>
      </c>
      <c r="DI110" s="14">
        <v>536.21</v>
      </c>
      <c r="DJ110" s="14">
        <f>IFERROR(VLOOKUP(D110,#REF!,2,0),0)</f>
        <v>0</v>
      </c>
      <c r="DK110" s="14">
        <f t="shared" si="70"/>
        <v>-536.21</v>
      </c>
      <c r="DL110" s="14">
        <v>43110</v>
      </c>
      <c r="DM110" s="14">
        <v>430939.81</v>
      </c>
      <c r="DN110" s="14">
        <v>3583.33</v>
      </c>
      <c r="DO110" s="14">
        <v>0</v>
      </c>
      <c r="DP110" s="14">
        <v>0</v>
      </c>
      <c r="DQ110" s="14">
        <v>43000</v>
      </c>
      <c r="DR110" s="14">
        <v>28</v>
      </c>
      <c r="DS110" s="14">
        <v>0</v>
      </c>
      <c r="DT110" s="5" t="s">
        <v>206</v>
      </c>
      <c r="DU110" s="5" t="s">
        <v>195</v>
      </c>
      <c r="DV110" s="5" t="s">
        <v>196</v>
      </c>
      <c r="DW110" s="5" t="s">
        <v>197</v>
      </c>
    </row>
    <row r="111" spans="1:127" ht="16.5">
      <c r="A111" s="5" t="s">
        <v>184</v>
      </c>
      <c r="B111" s="5" t="s">
        <v>147</v>
      </c>
      <c r="C111" s="5" t="s">
        <v>148</v>
      </c>
      <c r="D111" s="5" t="s">
        <v>794</v>
      </c>
      <c r="E111" s="5" t="e">
        <f>VLOOKUP(D111,#REF!,1,0)</f>
        <v>#REF!</v>
      </c>
      <c r="F111" s="5" t="s">
        <v>795</v>
      </c>
      <c r="G111" s="5" t="s">
        <v>796</v>
      </c>
      <c r="H111" s="5" t="str">
        <f t="shared" si="45"/>
        <v>Ka Wai Fu</v>
      </c>
      <c r="I111" s="5" t="e">
        <f>VLOOKUP(D111,#REF!,9,0)</f>
        <v>#REF!</v>
      </c>
      <c r="J111" s="5" t="e">
        <f t="shared" si="46"/>
        <v>#REF!</v>
      </c>
      <c r="K111" s="5" t="s">
        <v>797</v>
      </c>
      <c r="L111" s="5" t="s">
        <v>151</v>
      </c>
      <c r="M111" s="5" t="s">
        <v>798</v>
      </c>
      <c r="N111" s="10" t="e">
        <f>VLOOKUP(D111,#REF!,80,0)</f>
        <v>#REF!</v>
      </c>
      <c r="O111" s="11" t="e">
        <f t="shared" si="47"/>
        <v>#REF!</v>
      </c>
      <c r="P111" s="5" t="s">
        <v>409</v>
      </c>
      <c r="Q111" s="5" t="e">
        <f>VLOOKUP(D111,#REF!,50,0)</f>
        <v>#REF!</v>
      </c>
      <c r="R111" s="5" t="e">
        <f t="shared" si="48"/>
        <v>#REF!</v>
      </c>
      <c r="S111" s="5" t="s">
        <v>410</v>
      </c>
      <c r="T111" s="5" t="e">
        <f>VLOOKUP(D111,#REF!,21,0)</f>
        <v>#REF!</v>
      </c>
      <c r="U111" s="5" t="e">
        <f t="shared" si="49"/>
        <v>#REF!</v>
      </c>
      <c r="V111" s="5" t="s">
        <v>411</v>
      </c>
      <c r="W111" s="5" t="e">
        <f>VLOOKUP(D111,#REF!,51,0)</f>
        <v>#REF!</v>
      </c>
      <c r="X111" s="5" t="e">
        <f t="shared" si="50"/>
        <v>#REF!</v>
      </c>
      <c r="Y111" s="5" t="s">
        <v>192</v>
      </c>
      <c r="Z111" s="5" t="s">
        <v>193</v>
      </c>
      <c r="AA111" s="14">
        <v>5.92</v>
      </c>
      <c r="AB111" s="14">
        <v>70334</v>
      </c>
      <c r="AC111" s="14" t="e">
        <f>ROUND(VLOOKUP(D111,#REF!,59,0),0)</f>
        <v>#REF!</v>
      </c>
      <c r="AD111" s="14" t="e">
        <f t="shared" si="73"/>
        <v>#REF!</v>
      </c>
      <c r="AE111" s="14">
        <v>70334</v>
      </c>
      <c r="AF111" s="14">
        <f t="shared" si="74"/>
        <v>70334</v>
      </c>
      <c r="AG111" s="14">
        <f t="shared" si="75"/>
        <v>0</v>
      </c>
      <c r="AH111" s="14">
        <v>0</v>
      </c>
      <c r="AI111" s="14"/>
      <c r="AJ111" s="14"/>
      <c r="AK111" s="14">
        <v>0</v>
      </c>
      <c r="AL111" s="14"/>
      <c r="AM111" s="14"/>
      <c r="AN111" s="14">
        <v>0</v>
      </c>
      <c r="AO111" s="14">
        <v>0</v>
      </c>
      <c r="AP111" s="14">
        <f>IFERROR(VLOOKUP('Feb for check'!D111,#REF!,15,0),0)</f>
        <v>0</v>
      </c>
      <c r="AQ111" s="14">
        <f t="shared" si="51"/>
        <v>0</v>
      </c>
      <c r="AR111" s="14">
        <v>0</v>
      </c>
      <c r="AS111" s="14">
        <f t="shared" si="52"/>
        <v>0</v>
      </c>
      <c r="AT111" s="14">
        <f t="shared" si="53"/>
        <v>0</v>
      </c>
      <c r="AU111" s="14">
        <v>0</v>
      </c>
      <c r="AV111" s="14"/>
      <c r="AW111" s="14">
        <v>0</v>
      </c>
      <c r="AX111" s="14"/>
      <c r="AY111" s="14">
        <v>0</v>
      </c>
      <c r="AZ111" s="14"/>
      <c r="BA111" s="14">
        <v>0</v>
      </c>
      <c r="BB111" s="14">
        <f>IFERROR(VLOOKUP(D111,#REF!,2,0),0)</f>
        <v>0</v>
      </c>
      <c r="BC111" s="14" t="e">
        <f>MAX(VLOOKUP(D111,#REF!,13,0)-VLOOKUP(D111,#REF!,14,0),0)</f>
        <v>#REF!</v>
      </c>
      <c r="BD111" s="14">
        <f>IFERROR(VLOOKUP(D111,#REF!,3,0),0)</f>
        <v>0</v>
      </c>
      <c r="BE111" s="14" t="e">
        <f>MAX(VLOOKUP(D111,#REF!,22,0)-VLOOKUP(D111,#REF!,23,0),0)</f>
        <v>#REF!</v>
      </c>
      <c r="BF111" s="14" t="e">
        <f t="shared" si="54"/>
        <v>#REF!</v>
      </c>
      <c r="BG111" s="14" t="e">
        <f t="shared" si="55"/>
        <v>#REF!</v>
      </c>
      <c r="BH111" s="14">
        <v>0</v>
      </c>
      <c r="BI111" s="14"/>
      <c r="BJ111" s="14"/>
      <c r="BK111" s="14">
        <v>679</v>
      </c>
      <c r="BL111" s="14">
        <f t="shared" si="56"/>
        <v>679</v>
      </c>
      <c r="BM111" s="14">
        <f t="shared" si="57"/>
        <v>0</v>
      </c>
      <c r="BN111" s="14">
        <v>0</v>
      </c>
      <c r="BO111" s="14"/>
      <c r="BP111" s="14"/>
      <c r="BQ111" s="14"/>
      <c r="BR111" s="14">
        <v>0</v>
      </c>
      <c r="BS111" s="14"/>
      <c r="BT111" s="14">
        <v>0</v>
      </c>
      <c r="BU111" s="14"/>
      <c r="BV111" s="14">
        <v>0</v>
      </c>
      <c r="BW111" s="14"/>
      <c r="BX111" s="14">
        <v>71013</v>
      </c>
      <c r="BY111" s="14">
        <f t="shared" si="58"/>
        <v>71013</v>
      </c>
      <c r="BZ111" s="14">
        <f t="shared" si="59"/>
        <v>0</v>
      </c>
      <c r="CA111" s="14">
        <v>70334</v>
      </c>
      <c r="CB111" s="14">
        <f t="shared" si="60"/>
        <v>70334</v>
      </c>
      <c r="CC111" s="14">
        <f t="shared" si="61"/>
        <v>0</v>
      </c>
      <c r="CD111" s="14">
        <v>0</v>
      </c>
      <c r="CE111" s="14"/>
      <c r="CF111" s="14"/>
      <c r="CG111" s="14">
        <v>0</v>
      </c>
      <c r="CH111" s="14"/>
      <c r="CI111" s="14">
        <v>2312.3506000000002</v>
      </c>
      <c r="CJ111" s="14">
        <v>0.05</v>
      </c>
      <c r="CK111" s="14"/>
      <c r="CL111" s="14">
        <v>0</v>
      </c>
      <c r="CM111" s="14">
        <v>0.1</v>
      </c>
      <c r="CN111" s="14">
        <v>0</v>
      </c>
      <c r="CO111" s="14">
        <v>0</v>
      </c>
      <c r="CP111" s="14">
        <v>0</v>
      </c>
      <c r="CQ111" s="14"/>
      <c r="CR111" s="14">
        <v>0</v>
      </c>
      <c r="CS111" s="14"/>
      <c r="CT111" s="14">
        <v>1500</v>
      </c>
      <c r="CU111" s="14">
        <f t="shared" si="78"/>
        <v>1500</v>
      </c>
      <c r="CV111" s="14">
        <f t="shared" si="79"/>
        <v>0</v>
      </c>
      <c r="CW111" s="14">
        <v>3516.7</v>
      </c>
      <c r="CX111" s="14">
        <f t="shared" si="62"/>
        <v>3516.7</v>
      </c>
      <c r="CY111" s="14">
        <f t="shared" si="63"/>
        <v>0</v>
      </c>
      <c r="CZ111" s="14">
        <v>1500</v>
      </c>
      <c r="DA111" s="14">
        <f t="shared" si="64"/>
        <v>1500</v>
      </c>
      <c r="DB111" s="14">
        <f t="shared" si="65"/>
        <v>0</v>
      </c>
      <c r="DC111" s="14">
        <v>5533.4</v>
      </c>
      <c r="DD111" s="14">
        <f t="shared" si="66"/>
        <v>5533.4</v>
      </c>
      <c r="DE111" s="14">
        <f t="shared" si="67"/>
        <v>0</v>
      </c>
      <c r="DF111" s="14">
        <v>65996.3</v>
      </c>
      <c r="DG111" s="14">
        <f t="shared" si="68"/>
        <v>65996.3</v>
      </c>
      <c r="DH111" s="14">
        <f t="shared" si="69"/>
        <v>0</v>
      </c>
      <c r="DI111" s="14">
        <v>3314.06</v>
      </c>
      <c r="DJ111" s="14">
        <f>IFERROR(VLOOKUP(D111,#REF!,2,0),0)</f>
        <v>0</v>
      </c>
      <c r="DK111" s="14">
        <f t="shared" si="70"/>
        <v>-3314.06</v>
      </c>
      <c r="DL111" s="14">
        <v>71013</v>
      </c>
      <c r="DM111" s="14">
        <v>1254366.3799999999</v>
      </c>
      <c r="DN111" s="14">
        <v>5861.17</v>
      </c>
      <c r="DO111" s="14">
        <v>0</v>
      </c>
      <c r="DP111" s="14">
        <v>0</v>
      </c>
      <c r="DQ111" s="14">
        <v>70334</v>
      </c>
      <c r="DR111" s="14">
        <v>28</v>
      </c>
      <c r="DS111" s="14">
        <v>0</v>
      </c>
      <c r="DT111" s="5" t="s">
        <v>206</v>
      </c>
      <c r="DU111" s="5" t="s">
        <v>195</v>
      </c>
      <c r="DV111" s="5" t="s">
        <v>196</v>
      </c>
      <c r="DW111" s="5" t="s">
        <v>197</v>
      </c>
    </row>
    <row r="112" spans="1:127" ht="16.5">
      <c r="A112" s="5" t="s">
        <v>184</v>
      </c>
      <c r="B112" s="5" t="s">
        <v>147</v>
      </c>
      <c r="C112" s="5" t="s">
        <v>148</v>
      </c>
      <c r="D112" s="5" t="s">
        <v>799</v>
      </c>
      <c r="E112" s="5" t="e">
        <f>VLOOKUP(D112,#REF!,1,0)</f>
        <v>#REF!</v>
      </c>
      <c r="F112" s="5" t="s">
        <v>264</v>
      </c>
      <c r="G112" s="5" t="s">
        <v>208</v>
      </c>
      <c r="H112" s="5" t="str">
        <f t="shared" si="45"/>
        <v>Ho Wong</v>
      </c>
      <c r="I112" s="5" t="e">
        <f>VLOOKUP(D112,#REF!,9,0)</f>
        <v>#REF!</v>
      </c>
      <c r="J112" s="5" t="e">
        <f t="shared" si="46"/>
        <v>#REF!</v>
      </c>
      <c r="K112" s="5" t="s">
        <v>800</v>
      </c>
      <c r="L112" s="5" t="s">
        <v>151</v>
      </c>
      <c r="M112" s="5" t="s">
        <v>801</v>
      </c>
      <c r="N112" s="10" t="e">
        <f>VLOOKUP(D112,#REF!,80,0)</f>
        <v>#REF!</v>
      </c>
      <c r="O112" s="11" t="e">
        <f t="shared" si="47"/>
        <v>#REF!</v>
      </c>
      <c r="P112" s="5" t="s">
        <v>253</v>
      </c>
      <c r="Q112" s="5" t="e">
        <f>VLOOKUP(D112,#REF!,50,0)</f>
        <v>#REF!</v>
      </c>
      <c r="R112" s="5" t="e">
        <f t="shared" si="48"/>
        <v>#REF!</v>
      </c>
      <c r="S112" s="5" t="s">
        <v>802</v>
      </c>
      <c r="T112" s="5" t="e">
        <f>VLOOKUP(D112,#REF!,21,0)</f>
        <v>#REF!</v>
      </c>
      <c r="U112" s="5" t="e">
        <f t="shared" si="49"/>
        <v>#REF!</v>
      </c>
      <c r="V112" s="5" t="s">
        <v>255</v>
      </c>
      <c r="W112" s="5" t="e">
        <f>VLOOKUP(D112,#REF!,51,0)</f>
        <v>#REF!</v>
      </c>
      <c r="X112" s="5" t="e">
        <f t="shared" si="50"/>
        <v>#REF!</v>
      </c>
      <c r="Y112" s="5" t="s">
        <v>192</v>
      </c>
      <c r="Z112" s="5" t="s">
        <v>193</v>
      </c>
      <c r="AA112" s="14">
        <v>20.69</v>
      </c>
      <c r="AB112" s="14">
        <v>83478</v>
      </c>
      <c r="AC112" s="14" t="e">
        <f>ROUND(VLOOKUP(D112,#REF!,59,0),0)</f>
        <v>#REF!</v>
      </c>
      <c r="AD112" s="14" t="e">
        <f t="shared" si="73"/>
        <v>#REF!</v>
      </c>
      <c r="AE112" s="14">
        <v>83478</v>
      </c>
      <c r="AF112" s="14">
        <f t="shared" si="74"/>
        <v>83478</v>
      </c>
      <c r="AG112" s="14">
        <f t="shared" si="75"/>
        <v>0</v>
      </c>
      <c r="AH112" s="14">
        <v>0</v>
      </c>
      <c r="AI112" s="14"/>
      <c r="AJ112" s="14"/>
      <c r="AK112" s="14">
        <v>0</v>
      </c>
      <c r="AL112" s="14"/>
      <c r="AM112" s="14"/>
      <c r="AN112" s="14">
        <v>0</v>
      </c>
      <c r="AO112" s="14">
        <v>0</v>
      </c>
      <c r="AP112" s="14">
        <f>IFERROR(VLOOKUP('Feb for check'!D112,#REF!,15,0),0)</f>
        <v>0</v>
      </c>
      <c r="AQ112" s="14">
        <f t="shared" si="51"/>
        <v>0</v>
      </c>
      <c r="AR112" s="14">
        <v>0</v>
      </c>
      <c r="AS112" s="14">
        <f t="shared" si="52"/>
        <v>0</v>
      </c>
      <c r="AT112" s="14">
        <f t="shared" si="53"/>
        <v>0</v>
      </c>
      <c r="AU112" s="14">
        <v>0</v>
      </c>
      <c r="AV112" s="14"/>
      <c r="AW112" s="14">
        <v>0</v>
      </c>
      <c r="AX112" s="14"/>
      <c r="AY112" s="14">
        <v>0</v>
      </c>
      <c r="AZ112" s="14"/>
      <c r="BA112" s="14">
        <v>0</v>
      </c>
      <c r="BB112" s="14">
        <f>IFERROR(VLOOKUP(D112,#REF!,2,0),0)</f>
        <v>0</v>
      </c>
      <c r="BC112" s="14" t="e">
        <f>MAX(VLOOKUP(D112,#REF!,13,0)-VLOOKUP(D112,#REF!,14,0),0)</f>
        <v>#REF!</v>
      </c>
      <c r="BD112" s="14">
        <f>IFERROR(VLOOKUP(D112,#REF!,3,0),0)</f>
        <v>0</v>
      </c>
      <c r="BE112" s="14" t="e">
        <f>MAX(VLOOKUP(D112,#REF!,22,0)-VLOOKUP(D112,#REF!,23,0),0)</f>
        <v>#REF!</v>
      </c>
      <c r="BF112" s="14" t="e">
        <f t="shared" si="54"/>
        <v>#REF!</v>
      </c>
      <c r="BG112" s="14" t="e">
        <f t="shared" si="55"/>
        <v>#REF!</v>
      </c>
      <c r="BH112" s="14">
        <v>0</v>
      </c>
      <c r="BI112" s="14"/>
      <c r="BJ112" s="14"/>
      <c r="BK112" s="14">
        <v>917</v>
      </c>
      <c r="BL112" s="14">
        <f t="shared" si="56"/>
        <v>917</v>
      </c>
      <c r="BM112" s="14">
        <f t="shared" si="57"/>
        <v>0</v>
      </c>
      <c r="BN112" s="14">
        <v>0</v>
      </c>
      <c r="BO112" s="14"/>
      <c r="BP112" s="14"/>
      <c r="BQ112" s="14"/>
      <c r="BR112" s="14">
        <v>0</v>
      </c>
      <c r="BS112" s="14"/>
      <c r="BT112" s="14">
        <v>0</v>
      </c>
      <c r="BU112" s="14"/>
      <c r="BV112" s="14">
        <v>0</v>
      </c>
      <c r="BW112" s="14"/>
      <c r="BX112" s="14">
        <v>84395</v>
      </c>
      <c r="BY112" s="14">
        <f t="shared" si="58"/>
        <v>84395</v>
      </c>
      <c r="BZ112" s="14">
        <f t="shared" si="59"/>
        <v>0</v>
      </c>
      <c r="CA112" s="14">
        <v>83478</v>
      </c>
      <c r="CB112" s="14">
        <f t="shared" si="60"/>
        <v>83478</v>
      </c>
      <c r="CC112" s="14">
        <f t="shared" si="61"/>
        <v>0</v>
      </c>
      <c r="CD112" s="14">
        <v>0</v>
      </c>
      <c r="CE112" s="14"/>
      <c r="CF112" s="14"/>
      <c r="CG112" s="14">
        <v>0</v>
      </c>
      <c r="CH112" s="14"/>
      <c r="CI112" s="14">
        <v>2744.4821000000002</v>
      </c>
      <c r="CJ112" s="14">
        <v>0.05</v>
      </c>
      <c r="CK112" s="14"/>
      <c r="CL112" s="14">
        <v>0</v>
      </c>
      <c r="CM112" s="14">
        <v>0.1</v>
      </c>
      <c r="CN112" s="14">
        <v>0</v>
      </c>
      <c r="CO112" s="14">
        <v>0</v>
      </c>
      <c r="CP112" s="14">
        <v>0</v>
      </c>
      <c r="CQ112" s="14"/>
      <c r="CR112" s="14">
        <v>0</v>
      </c>
      <c r="CS112" s="14"/>
      <c r="CT112" s="14">
        <v>1500</v>
      </c>
      <c r="CU112" s="14">
        <f t="shared" si="78"/>
        <v>1500</v>
      </c>
      <c r="CV112" s="14">
        <f t="shared" si="79"/>
        <v>0</v>
      </c>
      <c r="CW112" s="14">
        <v>4173.8999999999996</v>
      </c>
      <c r="CX112" s="14">
        <f t="shared" si="62"/>
        <v>4173.8999999999996</v>
      </c>
      <c r="CY112" s="14">
        <f t="shared" si="63"/>
        <v>0</v>
      </c>
      <c r="CZ112" s="14">
        <v>1500</v>
      </c>
      <c r="DA112" s="14">
        <f t="shared" si="64"/>
        <v>1500</v>
      </c>
      <c r="DB112" s="14">
        <f t="shared" si="65"/>
        <v>0</v>
      </c>
      <c r="DC112" s="14">
        <v>6847.8</v>
      </c>
      <c r="DD112" s="14">
        <f t="shared" si="66"/>
        <v>6847.8</v>
      </c>
      <c r="DE112" s="14">
        <f t="shared" si="67"/>
        <v>0</v>
      </c>
      <c r="DF112" s="14">
        <v>78721.100000000006</v>
      </c>
      <c r="DG112" s="14">
        <f t="shared" si="68"/>
        <v>78721.100000000006</v>
      </c>
      <c r="DH112" s="14">
        <f t="shared" si="69"/>
        <v>0</v>
      </c>
      <c r="DI112" s="14">
        <v>4475.8500000000004</v>
      </c>
      <c r="DJ112" s="14">
        <f>IFERROR(VLOOKUP(D112,#REF!,2,0),0)</f>
        <v>0</v>
      </c>
      <c r="DK112" s="14">
        <f t="shared" si="70"/>
        <v>-4475.8500000000004</v>
      </c>
      <c r="DL112" s="14">
        <v>84395</v>
      </c>
      <c r="DM112" s="14">
        <v>1569662.28</v>
      </c>
      <c r="DN112" s="14">
        <v>6956.5</v>
      </c>
      <c r="DO112" s="14">
        <v>0</v>
      </c>
      <c r="DP112" s="14">
        <v>0</v>
      </c>
      <c r="DQ112" s="14">
        <v>83478</v>
      </c>
      <c r="DR112" s="14">
        <v>28</v>
      </c>
      <c r="DS112" s="14">
        <v>0</v>
      </c>
      <c r="DT112" s="5" t="s">
        <v>206</v>
      </c>
      <c r="DU112" s="5" t="s">
        <v>195</v>
      </c>
      <c r="DV112" s="5" t="s">
        <v>196</v>
      </c>
      <c r="DW112" s="5" t="s">
        <v>197</v>
      </c>
    </row>
    <row r="113" spans="1:127" ht="16.5">
      <c r="A113" s="5" t="s">
        <v>184</v>
      </c>
      <c r="B113" s="5" t="s">
        <v>147</v>
      </c>
      <c r="C113" s="5" t="s">
        <v>148</v>
      </c>
      <c r="D113" s="5" t="s">
        <v>803</v>
      </c>
      <c r="E113" s="5" t="e">
        <f>VLOOKUP(D113,#REF!,1,0)</f>
        <v>#REF!</v>
      </c>
      <c r="F113" s="5" t="s">
        <v>804</v>
      </c>
      <c r="G113" s="5" t="s">
        <v>805</v>
      </c>
      <c r="H113" s="5" t="str">
        <f t="shared" si="45"/>
        <v>Man Fung MA</v>
      </c>
      <c r="I113" s="5" t="e">
        <f>VLOOKUP(D113,#REF!,9,0)</f>
        <v>#REF!</v>
      </c>
      <c r="J113" s="5" t="e">
        <f t="shared" si="46"/>
        <v>#REF!</v>
      </c>
      <c r="K113" s="5"/>
      <c r="L113" s="5" t="s">
        <v>151</v>
      </c>
      <c r="M113" s="5" t="s">
        <v>287</v>
      </c>
      <c r="N113" s="10" t="e">
        <f>VLOOKUP(D113,#REF!,80,0)</f>
        <v>#REF!</v>
      </c>
      <c r="O113" s="11" t="e">
        <f t="shared" si="47"/>
        <v>#REF!</v>
      </c>
      <c r="P113" s="5" t="s">
        <v>500</v>
      </c>
      <c r="Q113" s="5" t="e">
        <f>VLOOKUP(D113,#REF!,50,0)</f>
        <v>#REF!</v>
      </c>
      <c r="R113" s="5" t="e">
        <f t="shared" si="48"/>
        <v>#REF!</v>
      </c>
      <c r="S113" s="5" t="s">
        <v>806</v>
      </c>
      <c r="T113" s="5" t="e">
        <f>VLOOKUP(D113,#REF!,21,0)</f>
        <v>#REF!</v>
      </c>
      <c r="U113" s="5" t="e">
        <f t="shared" si="49"/>
        <v>#REF!</v>
      </c>
      <c r="V113" s="5" t="s">
        <v>502</v>
      </c>
      <c r="W113" s="5" t="e">
        <f>VLOOKUP(D113,#REF!,51,0)</f>
        <v>#REF!</v>
      </c>
      <c r="X113" s="5" t="e">
        <f t="shared" si="50"/>
        <v>#REF!</v>
      </c>
      <c r="Y113" s="5" t="s">
        <v>192</v>
      </c>
      <c r="Z113" s="5" t="s">
        <v>193</v>
      </c>
      <c r="AA113" s="14">
        <v>0.8</v>
      </c>
      <c r="AB113" s="14">
        <v>21000</v>
      </c>
      <c r="AC113" s="14" t="e">
        <f>ROUND(VLOOKUP(D113,#REF!,59,0),0)</f>
        <v>#REF!</v>
      </c>
      <c r="AD113" s="14" t="e">
        <f t="shared" si="73"/>
        <v>#REF!</v>
      </c>
      <c r="AE113" s="14">
        <v>21000</v>
      </c>
      <c r="AF113" s="14">
        <f t="shared" si="74"/>
        <v>21000</v>
      </c>
      <c r="AG113" s="14">
        <f t="shared" si="75"/>
        <v>0</v>
      </c>
      <c r="AH113" s="14">
        <v>0</v>
      </c>
      <c r="AI113" s="14"/>
      <c r="AJ113" s="14"/>
      <c r="AK113" s="14">
        <v>0</v>
      </c>
      <c r="AL113" s="14"/>
      <c r="AM113" s="14"/>
      <c r="AN113" s="14">
        <v>0</v>
      </c>
      <c r="AO113" s="14">
        <v>0</v>
      </c>
      <c r="AP113" s="14">
        <f>IFERROR(VLOOKUP('Feb for check'!D113,#REF!,15,0),0)</f>
        <v>0</v>
      </c>
      <c r="AQ113" s="14">
        <f t="shared" si="51"/>
        <v>0</v>
      </c>
      <c r="AR113" s="14">
        <v>0</v>
      </c>
      <c r="AS113" s="14">
        <f t="shared" si="52"/>
        <v>0</v>
      </c>
      <c r="AT113" s="14">
        <f t="shared" si="53"/>
        <v>0</v>
      </c>
      <c r="AU113" s="14">
        <v>0</v>
      </c>
      <c r="AV113" s="14"/>
      <c r="AW113" s="14">
        <v>0</v>
      </c>
      <c r="AX113" s="14"/>
      <c r="AY113" s="14">
        <v>0</v>
      </c>
      <c r="AZ113" s="14"/>
      <c r="BA113" s="14">
        <v>8.99</v>
      </c>
      <c r="BB113" s="14">
        <f>IFERROR(VLOOKUP(D113,#REF!,2,0),0)</f>
        <v>0</v>
      </c>
      <c r="BC113" s="14" t="e">
        <f>MAX(VLOOKUP(D113,#REF!,13,0)-VLOOKUP(D113,#REF!,14,0),0)</f>
        <v>#REF!</v>
      </c>
      <c r="BD113" s="14">
        <f>IFERROR(VLOOKUP(D113,#REF!,3,0),0)</f>
        <v>0</v>
      </c>
      <c r="BE113" s="14" t="e">
        <f>MAX(VLOOKUP(D113,#REF!,22,0)-VLOOKUP(D113,#REF!,23,0),0)</f>
        <v>#REF!</v>
      </c>
      <c r="BF113" s="14" t="e">
        <f t="shared" si="54"/>
        <v>#REF!</v>
      </c>
      <c r="BG113" s="14" t="e">
        <f t="shared" si="55"/>
        <v>#REF!</v>
      </c>
      <c r="BH113" s="14">
        <v>0</v>
      </c>
      <c r="BI113" s="14"/>
      <c r="BJ113" s="14"/>
      <c r="BK113" s="14">
        <v>0</v>
      </c>
      <c r="BL113" s="14">
        <f t="shared" si="56"/>
        <v>0</v>
      </c>
      <c r="BM113" s="14">
        <f t="shared" si="57"/>
        <v>0</v>
      </c>
      <c r="BN113" s="14">
        <v>0</v>
      </c>
      <c r="BO113" s="14"/>
      <c r="BP113" s="14"/>
      <c r="BQ113" s="14"/>
      <c r="BR113" s="14">
        <v>0</v>
      </c>
      <c r="BS113" s="14"/>
      <c r="BT113" s="14">
        <v>0</v>
      </c>
      <c r="BU113" s="14"/>
      <c r="BV113" s="14">
        <v>0</v>
      </c>
      <c r="BW113" s="14"/>
      <c r="BX113" s="14">
        <v>21008.99</v>
      </c>
      <c r="BY113" s="14">
        <f t="shared" si="58"/>
        <v>21008.99</v>
      </c>
      <c r="BZ113" s="14">
        <f t="shared" si="59"/>
        <v>0</v>
      </c>
      <c r="CA113" s="14">
        <v>21008.99</v>
      </c>
      <c r="CB113" s="14">
        <f t="shared" si="60"/>
        <v>21008.99</v>
      </c>
      <c r="CC113" s="14">
        <f t="shared" si="61"/>
        <v>0</v>
      </c>
      <c r="CD113" s="14">
        <v>0</v>
      </c>
      <c r="CE113" s="14"/>
      <c r="CF113" s="14"/>
      <c r="CG113" s="14">
        <v>0</v>
      </c>
      <c r="CH113" s="14"/>
      <c r="CI113" s="14">
        <v>690.41089999999997</v>
      </c>
      <c r="CJ113" s="14">
        <v>0</v>
      </c>
      <c r="CK113" s="14"/>
      <c r="CL113" s="14">
        <v>0</v>
      </c>
      <c r="CM113" s="14">
        <v>7.4999999999999997E-2</v>
      </c>
      <c r="CN113" s="14">
        <v>0</v>
      </c>
      <c r="CO113" s="14">
        <v>0</v>
      </c>
      <c r="CP113" s="14">
        <v>0</v>
      </c>
      <c r="CQ113" s="14"/>
      <c r="CR113" s="14">
        <v>0</v>
      </c>
      <c r="CS113" s="14"/>
      <c r="CT113" s="14">
        <v>1050.45</v>
      </c>
      <c r="CU113" s="14">
        <f t="shared" si="78"/>
        <v>1050.4495000000002</v>
      </c>
      <c r="CV113" s="14">
        <f t="shared" si="79"/>
        <v>-4.9999999987448973E-4</v>
      </c>
      <c r="CW113" s="14">
        <v>0</v>
      </c>
      <c r="CX113" s="14">
        <f t="shared" si="62"/>
        <v>0</v>
      </c>
      <c r="CY113" s="14">
        <f t="shared" si="63"/>
        <v>0</v>
      </c>
      <c r="CZ113" s="14">
        <v>1050.45</v>
      </c>
      <c r="DA113" s="14">
        <f t="shared" si="64"/>
        <v>1050.4495000000002</v>
      </c>
      <c r="DB113" s="14">
        <f t="shared" si="65"/>
        <v>-4.9999999987448973E-4</v>
      </c>
      <c r="DC113" s="14">
        <v>525.22</v>
      </c>
      <c r="DD113" s="14">
        <f t="shared" si="66"/>
        <v>525.22</v>
      </c>
      <c r="DE113" s="14">
        <f t="shared" si="67"/>
        <v>0</v>
      </c>
      <c r="DF113" s="14">
        <v>19958.54</v>
      </c>
      <c r="DG113" s="14">
        <f t="shared" si="68"/>
        <v>19958.54</v>
      </c>
      <c r="DH113" s="14">
        <f t="shared" si="69"/>
        <v>0</v>
      </c>
      <c r="DI113" s="14">
        <v>0</v>
      </c>
      <c r="DJ113" s="14">
        <f>IFERROR(VLOOKUP(D113,#REF!,2,0),0)</f>
        <v>0</v>
      </c>
      <c r="DK113" s="14">
        <f t="shared" si="70"/>
        <v>0</v>
      </c>
      <c r="DL113" s="14">
        <v>21008.99</v>
      </c>
      <c r="DM113" s="14">
        <v>215576.85</v>
      </c>
      <c r="DN113" s="14">
        <v>1750</v>
      </c>
      <c r="DO113" s="14">
        <v>8.99</v>
      </c>
      <c r="DP113" s="14">
        <v>0</v>
      </c>
      <c r="DQ113" s="14">
        <v>21008.99</v>
      </c>
      <c r="DR113" s="14">
        <v>28</v>
      </c>
      <c r="DS113" s="14">
        <v>0</v>
      </c>
      <c r="DT113" s="5" t="s">
        <v>206</v>
      </c>
      <c r="DU113" s="5" t="s">
        <v>195</v>
      </c>
      <c r="DV113" s="5" t="s">
        <v>196</v>
      </c>
      <c r="DW113" s="5" t="s">
        <v>197</v>
      </c>
    </row>
    <row r="114" spans="1:127" ht="16.5">
      <c r="A114" s="5" t="s">
        <v>184</v>
      </c>
      <c r="B114" s="5" t="s">
        <v>147</v>
      </c>
      <c r="C114" s="5" t="s">
        <v>148</v>
      </c>
      <c r="D114" s="5" t="s">
        <v>807</v>
      </c>
      <c r="E114" s="5" t="e">
        <f>VLOOKUP(D114,#REF!,1,0)</f>
        <v>#REF!</v>
      </c>
      <c r="F114" s="5" t="s">
        <v>238</v>
      </c>
      <c r="G114" s="5" t="s">
        <v>808</v>
      </c>
      <c r="H114" s="5" t="str">
        <f t="shared" si="45"/>
        <v>Ting Kwok Leung</v>
      </c>
      <c r="I114" s="5" t="e">
        <f>VLOOKUP(D114,#REF!,9,0)</f>
        <v>#REF!</v>
      </c>
      <c r="J114" s="5" t="e">
        <f t="shared" si="46"/>
        <v>#REF!</v>
      </c>
      <c r="K114" s="5" t="s">
        <v>809</v>
      </c>
      <c r="L114" s="5" t="s">
        <v>151</v>
      </c>
      <c r="M114" s="5" t="s">
        <v>810</v>
      </c>
      <c r="N114" s="10" t="e">
        <f>VLOOKUP(D114,#REF!,80,0)</f>
        <v>#REF!</v>
      </c>
      <c r="O114" s="11" t="e">
        <f t="shared" si="47"/>
        <v>#REF!</v>
      </c>
      <c r="P114" s="5" t="s">
        <v>409</v>
      </c>
      <c r="Q114" s="5" t="e">
        <f>VLOOKUP(D114,#REF!,50,0)</f>
        <v>#REF!</v>
      </c>
      <c r="R114" s="5" t="e">
        <f t="shared" si="48"/>
        <v>#REF!</v>
      </c>
      <c r="S114" s="5" t="s">
        <v>811</v>
      </c>
      <c r="T114" s="5" t="e">
        <f>VLOOKUP(D114,#REF!,21,0)</f>
        <v>#REF!</v>
      </c>
      <c r="U114" s="5" t="e">
        <f t="shared" si="49"/>
        <v>#REF!</v>
      </c>
      <c r="V114" s="5" t="s">
        <v>411</v>
      </c>
      <c r="W114" s="5" t="e">
        <f>VLOOKUP(D114,#REF!,51,0)</f>
        <v>#REF!</v>
      </c>
      <c r="X114" s="5" t="e">
        <f t="shared" si="50"/>
        <v>#REF!</v>
      </c>
      <c r="Y114" s="5" t="s">
        <v>192</v>
      </c>
      <c r="Z114" s="5" t="s">
        <v>193</v>
      </c>
      <c r="AA114" s="14">
        <v>25.71</v>
      </c>
      <c r="AB114" s="14">
        <v>133685</v>
      </c>
      <c r="AC114" s="14" t="e">
        <f>ROUND(VLOOKUP(D114,#REF!,59,0),0)</f>
        <v>#REF!</v>
      </c>
      <c r="AD114" s="14" t="e">
        <f t="shared" si="73"/>
        <v>#REF!</v>
      </c>
      <c r="AE114" s="14">
        <v>133685</v>
      </c>
      <c r="AF114" s="14">
        <f t="shared" si="74"/>
        <v>133685</v>
      </c>
      <c r="AG114" s="14">
        <f t="shared" si="75"/>
        <v>0</v>
      </c>
      <c r="AH114" s="14">
        <v>0</v>
      </c>
      <c r="AI114" s="14"/>
      <c r="AJ114" s="14"/>
      <c r="AK114" s="14">
        <v>0</v>
      </c>
      <c r="AL114" s="14"/>
      <c r="AM114" s="14"/>
      <c r="AN114" s="14">
        <v>0</v>
      </c>
      <c r="AO114" s="14">
        <v>0</v>
      </c>
      <c r="AP114" s="14">
        <f>IFERROR(VLOOKUP('Feb for check'!D114,#REF!,15,0),0)</f>
        <v>0</v>
      </c>
      <c r="AQ114" s="14">
        <f t="shared" si="51"/>
        <v>0</v>
      </c>
      <c r="AR114" s="14">
        <v>0</v>
      </c>
      <c r="AS114" s="14">
        <f t="shared" si="52"/>
        <v>0</v>
      </c>
      <c r="AT114" s="14">
        <f t="shared" si="53"/>
        <v>0</v>
      </c>
      <c r="AU114" s="14">
        <v>0</v>
      </c>
      <c r="AV114" s="14"/>
      <c r="AW114" s="14">
        <v>0</v>
      </c>
      <c r="AX114" s="14"/>
      <c r="AY114" s="14">
        <v>0</v>
      </c>
      <c r="AZ114" s="14"/>
      <c r="BA114" s="14">
        <v>0</v>
      </c>
      <c r="BB114" s="14">
        <f>IFERROR(VLOOKUP(D114,#REF!,2,0),0)</f>
        <v>0</v>
      </c>
      <c r="BC114" s="14" t="e">
        <f>MAX(VLOOKUP(D114,#REF!,13,0)-VLOOKUP(D114,#REF!,14,0),0)</f>
        <v>#REF!</v>
      </c>
      <c r="BD114" s="14">
        <f>IFERROR(VLOOKUP(D114,#REF!,3,0),0)</f>
        <v>0</v>
      </c>
      <c r="BE114" s="14" t="e">
        <f>MAX(VLOOKUP(D114,#REF!,22,0)-VLOOKUP(D114,#REF!,23,0),0)</f>
        <v>#REF!</v>
      </c>
      <c r="BF114" s="14" t="e">
        <f t="shared" si="54"/>
        <v>#REF!</v>
      </c>
      <c r="BG114" s="14" t="e">
        <f t="shared" si="55"/>
        <v>#REF!</v>
      </c>
      <c r="BH114" s="14">
        <v>0</v>
      </c>
      <c r="BI114" s="14"/>
      <c r="BJ114" s="14"/>
      <c r="BK114" s="14">
        <v>0</v>
      </c>
      <c r="BL114" s="14">
        <f t="shared" si="56"/>
        <v>0</v>
      </c>
      <c r="BM114" s="14">
        <f t="shared" si="57"/>
        <v>0</v>
      </c>
      <c r="BN114" s="14">
        <v>0</v>
      </c>
      <c r="BO114" s="14"/>
      <c r="BP114" s="14"/>
      <c r="BQ114" s="14"/>
      <c r="BR114" s="14">
        <v>0</v>
      </c>
      <c r="BS114" s="14"/>
      <c r="BT114" s="14">
        <v>0</v>
      </c>
      <c r="BU114" s="14"/>
      <c r="BV114" s="14">
        <v>0</v>
      </c>
      <c r="BW114" s="14"/>
      <c r="BX114" s="14">
        <v>133685</v>
      </c>
      <c r="BY114" s="14">
        <f t="shared" si="58"/>
        <v>133685</v>
      </c>
      <c r="BZ114" s="14">
        <f t="shared" si="59"/>
        <v>0</v>
      </c>
      <c r="CA114" s="14">
        <v>133685</v>
      </c>
      <c r="CB114" s="14">
        <f t="shared" si="60"/>
        <v>133685</v>
      </c>
      <c r="CC114" s="14">
        <f t="shared" si="61"/>
        <v>0</v>
      </c>
      <c r="CD114" s="14">
        <v>0</v>
      </c>
      <c r="CE114" s="14"/>
      <c r="CF114" s="14"/>
      <c r="CG114" s="14">
        <v>0</v>
      </c>
      <c r="CH114" s="14"/>
      <c r="CI114" s="14">
        <v>4395.1232</v>
      </c>
      <c r="CJ114" s="14">
        <v>0.05</v>
      </c>
      <c r="CK114" s="14"/>
      <c r="CL114" s="14">
        <v>0</v>
      </c>
      <c r="CM114" s="14">
        <v>0.1</v>
      </c>
      <c r="CN114" s="14">
        <v>0</v>
      </c>
      <c r="CO114" s="14">
        <v>0</v>
      </c>
      <c r="CP114" s="14">
        <v>0</v>
      </c>
      <c r="CQ114" s="14"/>
      <c r="CR114" s="14">
        <v>0</v>
      </c>
      <c r="CS114" s="14"/>
      <c r="CT114" s="14">
        <v>1500</v>
      </c>
      <c r="CU114" s="14">
        <f t="shared" si="78"/>
        <v>1500</v>
      </c>
      <c r="CV114" s="14">
        <f t="shared" si="79"/>
        <v>0</v>
      </c>
      <c r="CW114" s="14">
        <v>6684.25</v>
      </c>
      <c r="CX114" s="14">
        <f t="shared" si="62"/>
        <v>6684.25</v>
      </c>
      <c r="CY114" s="14">
        <f t="shared" si="63"/>
        <v>0</v>
      </c>
      <c r="CZ114" s="14">
        <v>1500</v>
      </c>
      <c r="DA114" s="14">
        <f t="shared" si="64"/>
        <v>1500</v>
      </c>
      <c r="DB114" s="14">
        <f t="shared" si="65"/>
        <v>0</v>
      </c>
      <c r="DC114" s="14">
        <v>11868.5</v>
      </c>
      <c r="DD114" s="14">
        <f t="shared" si="66"/>
        <v>11868.5</v>
      </c>
      <c r="DE114" s="14">
        <f t="shared" si="67"/>
        <v>0</v>
      </c>
      <c r="DF114" s="14">
        <v>125500.75</v>
      </c>
      <c r="DG114" s="14">
        <f t="shared" si="68"/>
        <v>125500.75</v>
      </c>
      <c r="DH114" s="14">
        <f t="shared" si="69"/>
        <v>0</v>
      </c>
      <c r="DI114" s="14">
        <v>0</v>
      </c>
      <c r="DJ114" s="14">
        <f>IFERROR(VLOOKUP(D114,#REF!,2,0),0)</f>
        <v>0</v>
      </c>
      <c r="DK114" s="14">
        <f t="shared" si="70"/>
        <v>0</v>
      </c>
      <c r="DL114" s="14">
        <v>133685</v>
      </c>
      <c r="DM114" s="14">
        <v>2410081.17</v>
      </c>
      <c r="DN114" s="14">
        <v>11140.42</v>
      </c>
      <c r="DO114" s="14">
        <v>0</v>
      </c>
      <c r="DP114" s="14">
        <v>0</v>
      </c>
      <c r="DQ114" s="14">
        <v>133685</v>
      </c>
      <c r="DR114" s="14">
        <v>28</v>
      </c>
      <c r="DS114" s="14">
        <v>0</v>
      </c>
      <c r="DT114" s="5" t="s">
        <v>206</v>
      </c>
      <c r="DU114" s="5" t="s">
        <v>195</v>
      </c>
      <c r="DV114" s="5" t="s">
        <v>196</v>
      </c>
      <c r="DW114" s="5" t="s">
        <v>197</v>
      </c>
    </row>
    <row r="115" spans="1:127" ht="16.5">
      <c r="A115" s="5" t="s">
        <v>184</v>
      </c>
      <c r="B115" s="5" t="s">
        <v>147</v>
      </c>
      <c r="C115" s="5" t="s">
        <v>148</v>
      </c>
      <c r="D115" s="5" t="s">
        <v>812</v>
      </c>
      <c r="E115" s="5" t="e">
        <f>VLOOKUP(D115,#REF!,1,0)</f>
        <v>#REF!</v>
      </c>
      <c r="F115" s="5" t="s">
        <v>813</v>
      </c>
      <c r="G115" s="5" t="s">
        <v>814</v>
      </c>
      <c r="H115" s="5" t="str">
        <f t="shared" si="45"/>
        <v>Nga Ying Poon</v>
      </c>
      <c r="I115" s="5" t="e">
        <f>VLOOKUP(D115,#REF!,9,0)</f>
        <v>#REF!</v>
      </c>
      <c r="J115" s="5" t="e">
        <f t="shared" si="46"/>
        <v>#REF!</v>
      </c>
      <c r="K115" s="5" t="s">
        <v>815</v>
      </c>
      <c r="L115" s="5" t="s">
        <v>151</v>
      </c>
      <c r="M115" s="5" t="s">
        <v>816</v>
      </c>
      <c r="N115" s="10" t="e">
        <f>VLOOKUP(D115,#REF!,80,0)</f>
        <v>#REF!</v>
      </c>
      <c r="O115" s="11" t="e">
        <f t="shared" si="47"/>
        <v>#REF!</v>
      </c>
      <c r="P115" s="5" t="s">
        <v>234</v>
      </c>
      <c r="Q115" s="5" t="e">
        <f>VLOOKUP(D115,#REF!,50,0)</f>
        <v>#REF!</v>
      </c>
      <c r="R115" s="5" t="e">
        <f t="shared" si="48"/>
        <v>#REF!</v>
      </c>
      <c r="S115" s="5" t="s">
        <v>817</v>
      </c>
      <c r="T115" s="5" t="e">
        <f>VLOOKUP(D115,#REF!,21,0)</f>
        <v>#REF!</v>
      </c>
      <c r="U115" s="5" t="e">
        <f t="shared" si="49"/>
        <v>#REF!</v>
      </c>
      <c r="V115" s="5" t="s">
        <v>236</v>
      </c>
      <c r="W115" s="5" t="e">
        <f>VLOOKUP(D115,#REF!,51,0)</f>
        <v>#REF!</v>
      </c>
      <c r="X115" s="5" t="e">
        <f t="shared" si="50"/>
        <v>#REF!</v>
      </c>
      <c r="Y115" s="5" t="s">
        <v>192</v>
      </c>
      <c r="Z115" s="5" t="s">
        <v>193</v>
      </c>
      <c r="AA115" s="14">
        <v>21.38</v>
      </c>
      <c r="AB115" s="14">
        <v>69283</v>
      </c>
      <c r="AC115" s="14" t="e">
        <f>ROUND(VLOOKUP(D115,#REF!,59,0),0)</f>
        <v>#REF!</v>
      </c>
      <c r="AD115" s="14" t="e">
        <f t="shared" si="73"/>
        <v>#REF!</v>
      </c>
      <c r="AE115" s="14">
        <v>69283</v>
      </c>
      <c r="AF115" s="14">
        <f t="shared" si="74"/>
        <v>69283</v>
      </c>
      <c r="AG115" s="14">
        <f t="shared" si="75"/>
        <v>0</v>
      </c>
      <c r="AH115" s="14">
        <v>0</v>
      </c>
      <c r="AI115" s="14"/>
      <c r="AJ115" s="14"/>
      <c r="AK115" s="14">
        <v>0</v>
      </c>
      <c r="AL115" s="14"/>
      <c r="AM115" s="14"/>
      <c r="AN115" s="14">
        <v>0</v>
      </c>
      <c r="AO115" s="14">
        <v>0</v>
      </c>
      <c r="AP115" s="14">
        <f>IFERROR(VLOOKUP('Feb for check'!D115,#REF!,15,0),0)</f>
        <v>0</v>
      </c>
      <c r="AQ115" s="14">
        <f t="shared" si="51"/>
        <v>0</v>
      </c>
      <c r="AR115" s="14">
        <v>0</v>
      </c>
      <c r="AS115" s="14">
        <f t="shared" si="52"/>
        <v>0</v>
      </c>
      <c r="AT115" s="14">
        <f t="shared" si="53"/>
        <v>0</v>
      </c>
      <c r="AU115" s="14">
        <v>0</v>
      </c>
      <c r="AV115" s="14"/>
      <c r="AW115" s="14">
        <v>0</v>
      </c>
      <c r="AX115" s="14"/>
      <c r="AY115" s="14">
        <v>0</v>
      </c>
      <c r="AZ115" s="14"/>
      <c r="BA115" s="14">
        <v>1528.06</v>
      </c>
      <c r="BB115" s="14">
        <f>IFERROR(VLOOKUP(D115,#REF!,2,0),0)</f>
        <v>0</v>
      </c>
      <c r="BC115" s="14" t="e">
        <f>MAX(VLOOKUP(D115,#REF!,13,0)-VLOOKUP(D115,#REF!,14,0),0)</f>
        <v>#REF!</v>
      </c>
      <c r="BD115" s="14">
        <f>IFERROR(VLOOKUP(D115,#REF!,3,0),0)</f>
        <v>0</v>
      </c>
      <c r="BE115" s="14" t="e">
        <f>MAX(VLOOKUP(D115,#REF!,22,0)-VLOOKUP(D115,#REF!,23,0),0)</f>
        <v>#REF!</v>
      </c>
      <c r="BF115" s="14" t="e">
        <f t="shared" si="54"/>
        <v>#REF!</v>
      </c>
      <c r="BG115" s="14" t="e">
        <f t="shared" si="55"/>
        <v>#REF!</v>
      </c>
      <c r="BH115" s="14">
        <v>0</v>
      </c>
      <c r="BI115" s="14"/>
      <c r="BJ115" s="14"/>
      <c r="BK115" s="14">
        <v>55</v>
      </c>
      <c r="BL115" s="14">
        <f t="shared" si="56"/>
        <v>55</v>
      </c>
      <c r="BM115" s="14">
        <f t="shared" si="57"/>
        <v>0</v>
      </c>
      <c r="BN115" s="14">
        <v>0</v>
      </c>
      <c r="BO115" s="14"/>
      <c r="BP115" s="14"/>
      <c r="BQ115" s="14"/>
      <c r="BR115" s="14">
        <v>0</v>
      </c>
      <c r="BS115" s="14"/>
      <c r="BT115" s="14">
        <v>0</v>
      </c>
      <c r="BU115" s="14"/>
      <c r="BV115" s="14">
        <v>0</v>
      </c>
      <c r="BW115" s="14"/>
      <c r="BX115" s="14">
        <v>70866.06</v>
      </c>
      <c r="BY115" s="14">
        <f t="shared" si="58"/>
        <v>70866.06</v>
      </c>
      <c r="BZ115" s="14">
        <f t="shared" si="59"/>
        <v>0</v>
      </c>
      <c r="CA115" s="14">
        <v>70811.06</v>
      </c>
      <c r="CB115" s="14">
        <f t="shared" si="60"/>
        <v>70811.06</v>
      </c>
      <c r="CC115" s="14">
        <f t="shared" si="61"/>
        <v>0</v>
      </c>
      <c r="CD115" s="14">
        <v>0</v>
      </c>
      <c r="CE115" s="14"/>
      <c r="CF115" s="14"/>
      <c r="CG115" s="14">
        <v>0</v>
      </c>
      <c r="CH115" s="14"/>
      <c r="CI115" s="14">
        <v>2277.7972</v>
      </c>
      <c r="CJ115" s="14">
        <v>0.05</v>
      </c>
      <c r="CK115" s="14"/>
      <c r="CL115" s="14">
        <v>0</v>
      </c>
      <c r="CM115" s="14">
        <v>0.1</v>
      </c>
      <c r="CN115" s="14">
        <v>0</v>
      </c>
      <c r="CO115" s="14">
        <v>0</v>
      </c>
      <c r="CP115" s="14">
        <v>0</v>
      </c>
      <c r="CQ115" s="14"/>
      <c r="CR115" s="14">
        <v>0</v>
      </c>
      <c r="CS115" s="14"/>
      <c r="CT115" s="14">
        <v>1500</v>
      </c>
      <c r="CU115" s="14">
        <f t="shared" si="78"/>
        <v>1500</v>
      </c>
      <c r="CV115" s="14">
        <f t="shared" si="79"/>
        <v>0</v>
      </c>
      <c r="CW115" s="14">
        <v>3540.55</v>
      </c>
      <c r="CX115" s="14">
        <f t="shared" si="62"/>
        <v>3540.55</v>
      </c>
      <c r="CY115" s="14">
        <f t="shared" si="63"/>
        <v>0</v>
      </c>
      <c r="CZ115" s="14">
        <v>1500</v>
      </c>
      <c r="DA115" s="14">
        <f t="shared" si="64"/>
        <v>1500</v>
      </c>
      <c r="DB115" s="14">
        <f t="shared" si="65"/>
        <v>0</v>
      </c>
      <c r="DC115" s="14">
        <v>5581.11</v>
      </c>
      <c r="DD115" s="14">
        <f t="shared" si="66"/>
        <v>5581.11</v>
      </c>
      <c r="DE115" s="14">
        <f t="shared" si="67"/>
        <v>0</v>
      </c>
      <c r="DF115" s="14">
        <v>65825.509999999995</v>
      </c>
      <c r="DG115" s="14">
        <f t="shared" si="68"/>
        <v>65825.509999999995</v>
      </c>
      <c r="DH115" s="14">
        <f t="shared" si="69"/>
        <v>0</v>
      </c>
      <c r="DI115" s="14">
        <v>268.10000000000002</v>
      </c>
      <c r="DJ115" s="14">
        <f>IFERROR(VLOOKUP(D115,#REF!,2,0),0)</f>
        <v>0</v>
      </c>
      <c r="DK115" s="14">
        <f t="shared" si="70"/>
        <v>-268.10000000000002</v>
      </c>
      <c r="DL115" s="14">
        <v>70866.06</v>
      </c>
      <c r="DM115" s="14">
        <v>1184319.6000000001</v>
      </c>
      <c r="DN115" s="14">
        <v>5773.58</v>
      </c>
      <c r="DO115" s="14">
        <v>1528.06</v>
      </c>
      <c r="DP115" s="14">
        <v>0</v>
      </c>
      <c r="DQ115" s="14">
        <v>70811.06</v>
      </c>
      <c r="DR115" s="14">
        <v>28</v>
      </c>
      <c r="DS115" s="14">
        <v>0</v>
      </c>
      <c r="DT115" s="5" t="s">
        <v>206</v>
      </c>
      <c r="DU115" s="5" t="s">
        <v>195</v>
      </c>
      <c r="DV115" s="5" t="s">
        <v>196</v>
      </c>
      <c r="DW115" s="5" t="s">
        <v>197</v>
      </c>
    </row>
    <row r="116" spans="1:127" ht="16.5">
      <c r="A116" s="5" t="s">
        <v>184</v>
      </c>
      <c r="B116" s="5" t="s">
        <v>147</v>
      </c>
      <c r="C116" s="5" t="s">
        <v>148</v>
      </c>
      <c r="D116" s="5" t="s">
        <v>818</v>
      </c>
      <c r="E116" s="5" t="e">
        <f>VLOOKUP(D116,#REF!,1,0)</f>
        <v>#REF!</v>
      </c>
      <c r="F116" s="5" t="s">
        <v>398</v>
      </c>
      <c r="G116" s="5" t="s">
        <v>819</v>
      </c>
      <c r="H116" s="5" t="str">
        <f t="shared" si="45"/>
        <v>Pui Yin Tiffany Lai</v>
      </c>
      <c r="I116" s="5" t="e">
        <f>VLOOKUP(D116,#REF!,9,0)</f>
        <v>#REF!</v>
      </c>
      <c r="J116" s="5" t="e">
        <f t="shared" si="46"/>
        <v>#REF!</v>
      </c>
      <c r="K116" s="5" t="s">
        <v>820</v>
      </c>
      <c r="L116" s="5" t="s">
        <v>151</v>
      </c>
      <c r="M116" s="5" t="s">
        <v>821</v>
      </c>
      <c r="N116" s="10" t="e">
        <f>VLOOKUP(D116,#REF!,80,0)</f>
        <v>#REF!</v>
      </c>
      <c r="O116" s="11" t="e">
        <f t="shared" si="47"/>
        <v>#REF!</v>
      </c>
      <c r="P116" s="5" t="s">
        <v>365</v>
      </c>
      <c r="Q116" s="5" t="e">
        <f>VLOOKUP(D116,#REF!,50,0)</f>
        <v>#REF!</v>
      </c>
      <c r="R116" s="5" t="e">
        <f t="shared" si="48"/>
        <v>#REF!</v>
      </c>
      <c r="S116" s="5" t="s">
        <v>190</v>
      </c>
      <c r="T116" s="5" t="e">
        <f>VLOOKUP(D116,#REF!,21,0)</f>
        <v>#REF!</v>
      </c>
      <c r="U116" s="5" t="e">
        <f t="shared" si="49"/>
        <v>#REF!</v>
      </c>
      <c r="V116" s="5" t="s">
        <v>367</v>
      </c>
      <c r="W116" s="5" t="e">
        <f>VLOOKUP(D116,#REF!,51,0)</f>
        <v>#REF!</v>
      </c>
      <c r="X116" s="5" t="e">
        <f t="shared" si="50"/>
        <v>#REF!</v>
      </c>
      <c r="Y116" s="5" t="s">
        <v>192</v>
      </c>
      <c r="Z116" s="5" t="s">
        <v>193</v>
      </c>
      <c r="AA116" s="14">
        <v>1.75</v>
      </c>
      <c r="AB116" s="14">
        <v>21538</v>
      </c>
      <c r="AC116" s="14" t="e">
        <f>ROUND(VLOOKUP(D116,#REF!,59,0),0)</f>
        <v>#REF!</v>
      </c>
      <c r="AD116" s="14" t="e">
        <f t="shared" si="73"/>
        <v>#REF!</v>
      </c>
      <c r="AE116" s="14">
        <v>21538</v>
      </c>
      <c r="AF116" s="14">
        <f t="shared" si="74"/>
        <v>21538</v>
      </c>
      <c r="AG116" s="14">
        <f t="shared" si="75"/>
        <v>0</v>
      </c>
      <c r="AH116" s="14">
        <v>0</v>
      </c>
      <c r="AI116" s="14"/>
      <c r="AJ116" s="14"/>
      <c r="AK116" s="14">
        <v>0</v>
      </c>
      <c r="AL116" s="14"/>
      <c r="AM116" s="14"/>
      <c r="AN116" s="14">
        <v>0</v>
      </c>
      <c r="AO116" s="14">
        <v>2500</v>
      </c>
      <c r="AP116" s="14">
        <f>IFERROR(VLOOKUP('Feb for check'!D116,#REF!,15,0),0)</f>
        <v>0</v>
      </c>
      <c r="AQ116" s="14">
        <f t="shared" si="51"/>
        <v>-2500</v>
      </c>
      <c r="AR116" s="14">
        <v>2500</v>
      </c>
      <c r="AS116" s="14">
        <f t="shared" si="52"/>
        <v>2500</v>
      </c>
      <c r="AT116" s="14">
        <f t="shared" si="53"/>
        <v>0</v>
      </c>
      <c r="AU116" s="14">
        <v>0</v>
      </c>
      <c r="AV116" s="14"/>
      <c r="AW116" s="14">
        <v>0</v>
      </c>
      <c r="AX116" s="14"/>
      <c r="AY116" s="14">
        <v>0</v>
      </c>
      <c r="AZ116" s="14"/>
      <c r="BA116" s="14">
        <v>0</v>
      </c>
      <c r="BB116" s="14">
        <f>IFERROR(VLOOKUP(D116,#REF!,2,0),0)</f>
        <v>0</v>
      </c>
      <c r="BC116" s="14" t="e">
        <f>MAX(VLOOKUP(D116,#REF!,13,0)-VLOOKUP(D116,#REF!,14,0),0)</f>
        <v>#REF!</v>
      </c>
      <c r="BD116" s="14">
        <f>IFERROR(VLOOKUP(D116,#REF!,3,0),0)</f>
        <v>0</v>
      </c>
      <c r="BE116" s="14" t="e">
        <f>MAX(VLOOKUP(D116,#REF!,22,0)-VLOOKUP(D116,#REF!,23,0),0)</f>
        <v>#REF!</v>
      </c>
      <c r="BF116" s="14" t="e">
        <f t="shared" si="54"/>
        <v>#REF!</v>
      </c>
      <c r="BG116" s="14" t="e">
        <f t="shared" si="55"/>
        <v>#REF!</v>
      </c>
      <c r="BH116" s="14">
        <v>0</v>
      </c>
      <c r="BI116" s="14"/>
      <c r="BJ116" s="14"/>
      <c r="BK116" s="14">
        <v>917</v>
      </c>
      <c r="BL116" s="14">
        <f t="shared" si="56"/>
        <v>917</v>
      </c>
      <c r="BM116" s="14">
        <f t="shared" si="57"/>
        <v>0</v>
      </c>
      <c r="BN116" s="14">
        <v>0</v>
      </c>
      <c r="BO116" s="14"/>
      <c r="BP116" s="14"/>
      <c r="BQ116" s="14"/>
      <c r="BR116" s="14">
        <v>0</v>
      </c>
      <c r="BS116" s="14"/>
      <c r="BT116" s="14">
        <v>0</v>
      </c>
      <c r="BU116" s="14"/>
      <c r="BV116" s="14">
        <v>0</v>
      </c>
      <c r="BW116" s="14"/>
      <c r="BX116" s="14">
        <v>24955</v>
      </c>
      <c r="BY116" s="14">
        <f t="shared" si="58"/>
        <v>24955</v>
      </c>
      <c r="BZ116" s="14">
        <f t="shared" si="59"/>
        <v>0</v>
      </c>
      <c r="CA116" s="14">
        <v>21538</v>
      </c>
      <c r="CB116" s="14">
        <f t="shared" si="60"/>
        <v>21538</v>
      </c>
      <c r="CC116" s="14">
        <f t="shared" si="61"/>
        <v>0</v>
      </c>
      <c r="CD116" s="14">
        <v>0</v>
      </c>
      <c r="CE116" s="14"/>
      <c r="CF116" s="14"/>
      <c r="CG116" s="14">
        <v>0</v>
      </c>
      <c r="CH116" s="14"/>
      <c r="CI116" s="14">
        <v>790.29039999999998</v>
      </c>
      <c r="CJ116" s="14">
        <v>0</v>
      </c>
      <c r="CK116" s="14"/>
      <c r="CL116" s="14">
        <v>0</v>
      </c>
      <c r="CM116" s="14">
        <v>7.4999999999999997E-2</v>
      </c>
      <c r="CN116" s="14">
        <v>0</v>
      </c>
      <c r="CO116" s="14">
        <v>0</v>
      </c>
      <c r="CP116" s="14">
        <v>0</v>
      </c>
      <c r="CQ116" s="14"/>
      <c r="CR116" s="14">
        <v>0</v>
      </c>
      <c r="CS116" s="14"/>
      <c r="CT116" s="14">
        <v>1247.75</v>
      </c>
      <c r="CU116" s="14">
        <f t="shared" si="78"/>
        <v>1247.75</v>
      </c>
      <c r="CV116" s="14">
        <f t="shared" si="79"/>
        <v>0</v>
      </c>
      <c r="CW116" s="14">
        <v>0</v>
      </c>
      <c r="CX116" s="14">
        <f t="shared" si="62"/>
        <v>0</v>
      </c>
      <c r="CY116" s="14">
        <f t="shared" si="63"/>
        <v>0</v>
      </c>
      <c r="CZ116" s="14">
        <v>1247.75</v>
      </c>
      <c r="DA116" s="14">
        <f t="shared" si="64"/>
        <v>1247.75</v>
      </c>
      <c r="DB116" s="14">
        <f t="shared" si="65"/>
        <v>0</v>
      </c>
      <c r="DC116" s="14">
        <v>367.6</v>
      </c>
      <c r="DD116" s="14">
        <f t="shared" si="66"/>
        <v>367.6</v>
      </c>
      <c r="DE116" s="14">
        <f t="shared" si="67"/>
        <v>0</v>
      </c>
      <c r="DF116" s="14">
        <v>23707.25</v>
      </c>
      <c r="DG116" s="14">
        <f t="shared" si="68"/>
        <v>23707.25</v>
      </c>
      <c r="DH116" s="14">
        <f t="shared" si="69"/>
        <v>0</v>
      </c>
      <c r="DI116" s="14">
        <v>4475.8500000000004</v>
      </c>
      <c r="DJ116" s="14">
        <f>IFERROR(VLOOKUP(D116,#REF!,2,0),0)</f>
        <v>0</v>
      </c>
      <c r="DK116" s="14">
        <f t="shared" si="70"/>
        <v>-4475.8500000000004</v>
      </c>
      <c r="DL116" s="14">
        <v>22455</v>
      </c>
      <c r="DM116" s="14">
        <v>280523</v>
      </c>
      <c r="DN116" s="14">
        <v>1794.83</v>
      </c>
      <c r="DO116" s="14">
        <v>0</v>
      </c>
      <c r="DP116" s="14">
        <v>0</v>
      </c>
      <c r="DQ116" s="14">
        <v>24038</v>
      </c>
      <c r="DR116" s="14">
        <v>28</v>
      </c>
      <c r="DS116" s="14">
        <v>0</v>
      </c>
      <c r="DT116" s="5" t="s">
        <v>206</v>
      </c>
      <c r="DU116" s="5" t="s">
        <v>195</v>
      </c>
      <c r="DV116" s="5" t="s">
        <v>196</v>
      </c>
      <c r="DW116" s="5" t="s">
        <v>197</v>
      </c>
    </row>
    <row r="117" spans="1:127" ht="16.5">
      <c r="A117" s="5" t="s">
        <v>184</v>
      </c>
      <c r="B117" s="5" t="s">
        <v>147</v>
      </c>
      <c r="C117" s="5" t="s">
        <v>148</v>
      </c>
      <c r="D117" s="5" t="s">
        <v>822</v>
      </c>
      <c r="E117" s="5" t="e">
        <f>VLOOKUP(D117,#REF!,1,0)</f>
        <v>#REF!</v>
      </c>
      <c r="F117" s="5" t="s">
        <v>577</v>
      </c>
      <c r="G117" s="5" t="s">
        <v>823</v>
      </c>
      <c r="H117" s="5" t="str">
        <f t="shared" si="45"/>
        <v>Hoi Hong Ng</v>
      </c>
      <c r="I117" s="5" t="e">
        <f>VLOOKUP(D117,#REF!,9,0)</f>
        <v>#REF!</v>
      </c>
      <c r="J117" s="5" t="e">
        <f t="shared" si="46"/>
        <v>#REF!</v>
      </c>
      <c r="K117" s="5" t="s">
        <v>824</v>
      </c>
      <c r="L117" s="5" t="s">
        <v>151</v>
      </c>
      <c r="M117" s="5" t="s">
        <v>825</v>
      </c>
      <c r="N117" s="10" t="e">
        <f>VLOOKUP(D117,#REF!,80,0)</f>
        <v>#REF!</v>
      </c>
      <c r="O117" s="11" t="e">
        <f t="shared" si="47"/>
        <v>#REF!</v>
      </c>
      <c r="P117" s="5" t="s">
        <v>402</v>
      </c>
      <c r="Q117" s="5" t="e">
        <f>VLOOKUP(D117,#REF!,50,0)</f>
        <v>#REF!</v>
      </c>
      <c r="R117" s="5" t="e">
        <f t="shared" si="48"/>
        <v>#REF!</v>
      </c>
      <c r="S117" s="5" t="s">
        <v>826</v>
      </c>
      <c r="T117" s="5" t="e">
        <f>VLOOKUP(D117,#REF!,21,0)</f>
        <v>#REF!</v>
      </c>
      <c r="U117" s="5" t="e">
        <f t="shared" si="49"/>
        <v>#REF!</v>
      </c>
      <c r="V117" s="5" t="s">
        <v>404</v>
      </c>
      <c r="W117" s="5" t="e">
        <f>VLOOKUP(D117,#REF!,51,0)</f>
        <v>#REF!</v>
      </c>
      <c r="X117" s="5" t="e">
        <f t="shared" si="50"/>
        <v>#REF!</v>
      </c>
      <c r="Y117" s="5" t="s">
        <v>192</v>
      </c>
      <c r="Z117" s="5" t="s">
        <v>193</v>
      </c>
      <c r="AA117" s="14">
        <v>25.58</v>
      </c>
      <c r="AB117" s="14">
        <v>116960</v>
      </c>
      <c r="AC117" s="14" t="e">
        <f>ROUND(VLOOKUP(D117,#REF!,59,0),0)</f>
        <v>#REF!</v>
      </c>
      <c r="AD117" s="14" t="e">
        <f t="shared" si="73"/>
        <v>#REF!</v>
      </c>
      <c r="AE117" s="14">
        <v>116960</v>
      </c>
      <c r="AF117" s="14">
        <f t="shared" si="74"/>
        <v>116960</v>
      </c>
      <c r="AG117" s="14">
        <f t="shared" si="75"/>
        <v>0</v>
      </c>
      <c r="AH117" s="14">
        <v>0</v>
      </c>
      <c r="AI117" s="14"/>
      <c r="AJ117" s="14"/>
      <c r="AK117" s="14">
        <v>0</v>
      </c>
      <c r="AL117" s="14"/>
      <c r="AM117" s="14"/>
      <c r="AN117" s="14">
        <v>0</v>
      </c>
      <c r="AO117" s="14">
        <v>0</v>
      </c>
      <c r="AP117" s="14">
        <f>IFERROR(VLOOKUP('Feb for check'!D117,#REF!,15,0),0)</f>
        <v>0</v>
      </c>
      <c r="AQ117" s="14">
        <f t="shared" si="51"/>
        <v>0</v>
      </c>
      <c r="AR117" s="14">
        <v>0</v>
      </c>
      <c r="AS117" s="14">
        <f t="shared" si="52"/>
        <v>0</v>
      </c>
      <c r="AT117" s="14">
        <f t="shared" si="53"/>
        <v>0</v>
      </c>
      <c r="AU117" s="14">
        <v>0</v>
      </c>
      <c r="AV117" s="14"/>
      <c r="AW117" s="14">
        <v>0</v>
      </c>
      <c r="AX117" s="14"/>
      <c r="AY117" s="14">
        <v>0</v>
      </c>
      <c r="AZ117" s="14"/>
      <c r="BA117" s="14">
        <v>0</v>
      </c>
      <c r="BB117" s="14">
        <f>IFERROR(VLOOKUP(D117,#REF!,2,0),0)</f>
        <v>0</v>
      </c>
      <c r="BC117" s="14" t="e">
        <f>MAX(VLOOKUP(D117,#REF!,13,0)-VLOOKUP(D117,#REF!,14,0),0)</f>
        <v>#REF!</v>
      </c>
      <c r="BD117" s="14">
        <f>IFERROR(VLOOKUP(D117,#REF!,3,0),0)</f>
        <v>0</v>
      </c>
      <c r="BE117" s="14" t="e">
        <f>MAX(VLOOKUP(D117,#REF!,22,0)-VLOOKUP(D117,#REF!,23,0),0)</f>
        <v>#REF!</v>
      </c>
      <c r="BF117" s="14" t="e">
        <f t="shared" si="54"/>
        <v>#REF!</v>
      </c>
      <c r="BG117" s="14" t="e">
        <f t="shared" si="55"/>
        <v>#REF!</v>
      </c>
      <c r="BH117" s="14">
        <v>0</v>
      </c>
      <c r="BI117" s="14"/>
      <c r="BJ117" s="14"/>
      <c r="BK117" s="14">
        <v>1834</v>
      </c>
      <c r="BL117" s="14">
        <f t="shared" si="56"/>
        <v>1834</v>
      </c>
      <c r="BM117" s="14">
        <f t="shared" si="57"/>
        <v>0</v>
      </c>
      <c r="BN117" s="14">
        <v>0</v>
      </c>
      <c r="BO117" s="14"/>
      <c r="BP117" s="14"/>
      <c r="BQ117" s="14"/>
      <c r="BR117" s="14">
        <v>0</v>
      </c>
      <c r="BS117" s="14"/>
      <c r="BT117" s="14">
        <v>0</v>
      </c>
      <c r="BU117" s="14"/>
      <c r="BV117" s="14">
        <v>0</v>
      </c>
      <c r="BW117" s="14"/>
      <c r="BX117" s="14">
        <v>118794</v>
      </c>
      <c r="BY117" s="14">
        <f t="shared" si="58"/>
        <v>118794</v>
      </c>
      <c r="BZ117" s="14">
        <f t="shared" si="59"/>
        <v>0</v>
      </c>
      <c r="CA117" s="14">
        <v>116960</v>
      </c>
      <c r="CB117" s="14">
        <f t="shared" si="60"/>
        <v>116960</v>
      </c>
      <c r="CC117" s="14">
        <f t="shared" si="61"/>
        <v>0</v>
      </c>
      <c r="CD117" s="14">
        <v>0</v>
      </c>
      <c r="CE117" s="14"/>
      <c r="CF117" s="14"/>
      <c r="CG117" s="14">
        <v>0</v>
      </c>
      <c r="CH117" s="14"/>
      <c r="CI117" s="14">
        <v>3845.2602000000002</v>
      </c>
      <c r="CJ117" s="14">
        <v>0.05</v>
      </c>
      <c r="CK117" s="14"/>
      <c r="CL117" s="14">
        <v>0</v>
      </c>
      <c r="CM117" s="14">
        <v>0.1</v>
      </c>
      <c r="CN117" s="14">
        <v>0</v>
      </c>
      <c r="CO117" s="14">
        <v>0</v>
      </c>
      <c r="CP117" s="14">
        <v>0</v>
      </c>
      <c r="CQ117" s="14"/>
      <c r="CR117" s="14">
        <v>0</v>
      </c>
      <c r="CS117" s="14"/>
      <c r="CT117" s="14">
        <v>1500</v>
      </c>
      <c r="CU117" s="14">
        <f t="shared" si="78"/>
        <v>1500</v>
      </c>
      <c r="CV117" s="14">
        <f t="shared" si="79"/>
        <v>0</v>
      </c>
      <c r="CW117" s="14">
        <v>5848</v>
      </c>
      <c r="CX117" s="14">
        <f t="shared" si="62"/>
        <v>5848</v>
      </c>
      <c r="CY117" s="14">
        <f t="shared" si="63"/>
        <v>0</v>
      </c>
      <c r="CZ117" s="14">
        <v>1500</v>
      </c>
      <c r="DA117" s="14">
        <f t="shared" si="64"/>
        <v>1500</v>
      </c>
      <c r="DB117" s="14">
        <f t="shared" si="65"/>
        <v>0</v>
      </c>
      <c r="DC117" s="14">
        <v>10196</v>
      </c>
      <c r="DD117" s="14">
        <f t="shared" si="66"/>
        <v>10196</v>
      </c>
      <c r="DE117" s="14">
        <f t="shared" si="67"/>
        <v>0</v>
      </c>
      <c r="DF117" s="14">
        <v>111446</v>
      </c>
      <c r="DG117" s="14">
        <f t="shared" si="68"/>
        <v>111446</v>
      </c>
      <c r="DH117" s="14">
        <f t="shared" si="69"/>
        <v>0</v>
      </c>
      <c r="DI117" s="14">
        <v>8951.7000000000007</v>
      </c>
      <c r="DJ117" s="14">
        <f>IFERROR(VLOOKUP(D117,#REF!,2,0),0)</f>
        <v>0</v>
      </c>
      <c r="DK117" s="14">
        <f t="shared" si="70"/>
        <v>-8951.7000000000007</v>
      </c>
      <c r="DL117" s="14">
        <v>118794</v>
      </c>
      <c r="DM117" s="14">
        <v>2129169.9700000002</v>
      </c>
      <c r="DN117" s="14">
        <v>9746.67</v>
      </c>
      <c r="DO117" s="14">
        <v>0</v>
      </c>
      <c r="DP117" s="14">
        <v>0</v>
      </c>
      <c r="DQ117" s="14">
        <v>116960</v>
      </c>
      <c r="DR117" s="14">
        <v>28</v>
      </c>
      <c r="DS117" s="14">
        <v>0</v>
      </c>
      <c r="DT117" s="5" t="s">
        <v>206</v>
      </c>
      <c r="DU117" s="5" t="s">
        <v>195</v>
      </c>
      <c r="DV117" s="5" t="s">
        <v>196</v>
      </c>
      <c r="DW117" s="5" t="s">
        <v>197</v>
      </c>
    </row>
    <row r="118" spans="1:127" ht="16.5">
      <c r="A118" s="5" t="s">
        <v>184</v>
      </c>
      <c r="B118" s="5" t="s">
        <v>147</v>
      </c>
      <c r="C118" s="5" t="s">
        <v>148</v>
      </c>
      <c r="D118" s="5" t="s">
        <v>827</v>
      </c>
      <c r="E118" s="5" t="e">
        <f>VLOOKUP(D118,#REF!,1,0)</f>
        <v>#REF!</v>
      </c>
      <c r="F118" s="5" t="s">
        <v>467</v>
      </c>
      <c r="G118" s="5" t="s">
        <v>828</v>
      </c>
      <c r="H118" s="5" t="str">
        <f t="shared" si="45"/>
        <v>Lok To Von Tai</v>
      </c>
      <c r="I118" s="5" t="e">
        <f>VLOOKUP(D118,#REF!,9,0)</f>
        <v>#REF!</v>
      </c>
      <c r="J118" s="5" t="e">
        <f t="shared" si="46"/>
        <v>#REF!</v>
      </c>
      <c r="K118" s="5" t="s">
        <v>829</v>
      </c>
      <c r="L118" s="5" t="s">
        <v>151</v>
      </c>
      <c r="M118" s="5" t="s">
        <v>830</v>
      </c>
      <c r="N118" s="10" t="e">
        <f>VLOOKUP(D118,#REF!,80,0)</f>
        <v>#REF!</v>
      </c>
      <c r="O118" s="11" t="e">
        <f t="shared" si="47"/>
        <v>#REF!</v>
      </c>
      <c r="P118" s="5" t="s">
        <v>500</v>
      </c>
      <c r="Q118" s="5" t="e">
        <f>VLOOKUP(D118,#REF!,50,0)</f>
        <v>#REF!</v>
      </c>
      <c r="R118" s="5" t="e">
        <f t="shared" si="48"/>
        <v>#REF!</v>
      </c>
      <c r="S118" s="5" t="s">
        <v>657</v>
      </c>
      <c r="T118" s="5" t="e">
        <f>VLOOKUP(D118,#REF!,21,0)</f>
        <v>#REF!</v>
      </c>
      <c r="U118" s="5" t="e">
        <f t="shared" si="49"/>
        <v>#REF!</v>
      </c>
      <c r="V118" s="5" t="s">
        <v>502</v>
      </c>
      <c r="W118" s="5" t="e">
        <f>VLOOKUP(D118,#REF!,51,0)</f>
        <v>#REF!</v>
      </c>
      <c r="X118" s="5" t="e">
        <f t="shared" si="50"/>
        <v>#REF!</v>
      </c>
      <c r="Y118" s="5" t="s">
        <v>192</v>
      </c>
      <c r="Z118" s="5" t="s">
        <v>193</v>
      </c>
      <c r="AA118" s="14">
        <v>5.89</v>
      </c>
      <c r="AB118" s="14">
        <v>38467</v>
      </c>
      <c r="AC118" s="14" t="e">
        <f>ROUND(VLOOKUP(D118,#REF!,59,0),0)</f>
        <v>#REF!</v>
      </c>
      <c r="AD118" s="14" t="e">
        <f t="shared" si="73"/>
        <v>#REF!</v>
      </c>
      <c r="AE118" s="14">
        <v>38467</v>
      </c>
      <c r="AF118" s="14">
        <f t="shared" si="74"/>
        <v>38467</v>
      </c>
      <c r="AG118" s="14">
        <f t="shared" si="75"/>
        <v>0</v>
      </c>
      <c r="AH118" s="14">
        <v>0</v>
      </c>
      <c r="AI118" s="14"/>
      <c r="AJ118" s="14"/>
      <c r="AK118" s="14">
        <v>0</v>
      </c>
      <c r="AL118" s="14"/>
      <c r="AM118" s="14"/>
      <c r="AN118" s="14">
        <v>0</v>
      </c>
      <c r="AO118" s="14">
        <v>0</v>
      </c>
      <c r="AP118" s="14">
        <f>IFERROR(VLOOKUP('Feb for check'!D118,#REF!,15,0),0)</f>
        <v>0</v>
      </c>
      <c r="AQ118" s="14">
        <f t="shared" si="51"/>
        <v>0</v>
      </c>
      <c r="AR118" s="14">
        <v>0</v>
      </c>
      <c r="AS118" s="14">
        <f t="shared" si="52"/>
        <v>0</v>
      </c>
      <c r="AT118" s="14">
        <f t="shared" si="53"/>
        <v>0</v>
      </c>
      <c r="AU118" s="14">
        <v>0</v>
      </c>
      <c r="AV118" s="14"/>
      <c r="AW118" s="14">
        <v>0</v>
      </c>
      <c r="AX118" s="14"/>
      <c r="AY118" s="14">
        <v>0</v>
      </c>
      <c r="AZ118" s="14"/>
      <c r="BA118" s="14">
        <v>0</v>
      </c>
      <c r="BB118" s="14">
        <f>IFERROR(VLOOKUP(D118,#REF!,2,0),0)</f>
        <v>0</v>
      </c>
      <c r="BC118" s="14" t="e">
        <f>MAX(VLOOKUP(D118,#REF!,13,0)-VLOOKUP(D118,#REF!,14,0),0)</f>
        <v>#REF!</v>
      </c>
      <c r="BD118" s="14">
        <f>IFERROR(VLOOKUP(D118,#REF!,3,0),0)</f>
        <v>0</v>
      </c>
      <c r="BE118" s="14" t="e">
        <f>MAX(VLOOKUP(D118,#REF!,22,0)-VLOOKUP(D118,#REF!,23,0),0)</f>
        <v>#REF!</v>
      </c>
      <c r="BF118" s="14" t="e">
        <f t="shared" si="54"/>
        <v>#REF!</v>
      </c>
      <c r="BG118" s="14" t="e">
        <f t="shared" si="55"/>
        <v>#REF!</v>
      </c>
      <c r="BH118" s="14">
        <v>0</v>
      </c>
      <c r="BI118" s="14"/>
      <c r="BJ118" s="14"/>
      <c r="BK118" s="14">
        <v>221</v>
      </c>
      <c r="BL118" s="14">
        <f t="shared" si="56"/>
        <v>221</v>
      </c>
      <c r="BM118" s="14">
        <f t="shared" si="57"/>
        <v>0</v>
      </c>
      <c r="BN118" s="14">
        <v>0</v>
      </c>
      <c r="BO118" s="14"/>
      <c r="BP118" s="14"/>
      <c r="BQ118" s="14"/>
      <c r="BR118" s="14">
        <v>0</v>
      </c>
      <c r="BS118" s="14"/>
      <c r="BT118" s="14">
        <v>0</v>
      </c>
      <c r="BU118" s="14"/>
      <c r="BV118" s="14">
        <v>0</v>
      </c>
      <c r="BW118" s="14"/>
      <c r="BX118" s="14">
        <v>38688</v>
      </c>
      <c r="BY118" s="14">
        <f t="shared" si="58"/>
        <v>38688</v>
      </c>
      <c r="BZ118" s="14">
        <f t="shared" si="59"/>
        <v>0</v>
      </c>
      <c r="CA118" s="14">
        <v>38467</v>
      </c>
      <c r="CB118" s="14">
        <f t="shared" si="60"/>
        <v>38467</v>
      </c>
      <c r="CC118" s="14">
        <f t="shared" si="61"/>
        <v>0</v>
      </c>
      <c r="CD118" s="14">
        <v>0</v>
      </c>
      <c r="CE118" s="14"/>
      <c r="CF118" s="14"/>
      <c r="CG118" s="14">
        <v>0</v>
      </c>
      <c r="CH118" s="14"/>
      <c r="CI118" s="14">
        <v>1264.6684</v>
      </c>
      <c r="CJ118" s="14">
        <v>0.05</v>
      </c>
      <c r="CK118" s="14"/>
      <c r="CL118" s="14">
        <v>0</v>
      </c>
      <c r="CM118" s="14">
        <v>0.1</v>
      </c>
      <c r="CN118" s="14">
        <v>0</v>
      </c>
      <c r="CO118" s="14">
        <v>0</v>
      </c>
      <c r="CP118" s="14">
        <v>0</v>
      </c>
      <c r="CQ118" s="14"/>
      <c r="CR118" s="14">
        <v>0</v>
      </c>
      <c r="CS118" s="14"/>
      <c r="CT118" s="14">
        <v>1500</v>
      </c>
      <c r="CU118" s="14">
        <f t="shared" si="78"/>
        <v>1500</v>
      </c>
      <c r="CV118" s="14">
        <f t="shared" si="79"/>
        <v>0</v>
      </c>
      <c r="CW118" s="14">
        <v>1923.35</v>
      </c>
      <c r="CX118" s="14">
        <f t="shared" si="62"/>
        <v>1923.35</v>
      </c>
      <c r="CY118" s="14">
        <f t="shared" si="63"/>
        <v>0</v>
      </c>
      <c r="CZ118" s="14">
        <v>1500</v>
      </c>
      <c r="DA118" s="14">
        <f t="shared" si="64"/>
        <v>1500</v>
      </c>
      <c r="DB118" s="14">
        <f t="shared" si="65"/>
        <v>0</v>
      </c>
      <c r="DC118" s="14">
        <v>2346.6999999999998</v>
      </c>
      <c r="DD118" s="14">
        <f t="shared" si="66"/>
        <v>2346.6999999999998</v>
      </c>
      <c r="DE118" s="14">
        <f t="shared" si="67"/>
        <v>0</v>
      </c>
      <c r="DF118" s="14">
        <v>35264.65</v>
      </c>
      <c r="DG118" s="14">
        <f t="shared" si="68"/>
        <v>35264.65</v>
      </c>
      <c r="DH118" s="14">
        <f t="shared" si="69"/>
        <v>0</v>
      </c>
      <c r="DI118" s="14">
        <v>1076.1400000000001</v>
      </c>
      <c r="DJ118" s="14">
        <f>IFERROR(VLOOKUP(D118,#REF!,2,0),0)</f>
        <v>0</v>
      </c>
      <c r="DK118" s="14">
        <f t="shared" si="70"/>
        <v>-1076.1400000000001</v>
      </c>
      <c r="DL118" s="14">
        <v>38688</v>
      </c>
      <c r="DM118" s="14">
        <v>573411.72</v>
      </c>
      <c r="DN118" s="14">
        <v>3205.58</v>
      </c>
      <c r="DO118" s="14">
        <v>0</v>
      </c>
      <c r="DP118" s="14">
        <v>0</v>
      </c>
      <c r="DQ118" s="14">
        <v>38467</v>
      </c>
      <c r="DR118" s="14">
        <v>28</v>
      </c>
      <c r="DS118" s="14">
        <v>0</v>
      </c>
      <c r="DT118" s="5" t="s">
        <v>206</v>
      </c>
      <c r="DU118" s="5" t="s">
        <v>195</v>
      </c>
      <c r="DV118" s="5" t="s">
        <v>196</v>
      </c>
      <c r="DW118" s="5" t="s">
        <v>197</v>
      </c>
    </row>
    <row r="119" spans="1:127" ht="16.5">
      <c r="A119" s="5" t="s">
        <v>184</v>
      </c>
      <c r="B119" s="5" t="s">
        <v>147</v>
      </c>
      <c r="C119" s="5" t="s">
        <v>148</v>
      </c>
      <c r="D119" s="5" t="s">
        <v>831</v>
      </c>
      <c r="E119" s="5" t="e">
        <f>VLOOKUP(D119,#REF!,1,0)</f>
        <v>#REF!</v>
      </c>
      <c r="F119" s="5" t="s">
        <v>296</v>
      </c>
      <c r="G119" s="5" t="s">
        <v>832</v>
      </c>
      <c r="H119" s="5" t="str">
        <f t="shared" si="45"/>
        <v>Chi Lung Choi</v>
      </c>
      <c r="I119" s="5" t="e">
        <f>VLOOKUP(D119,#REF!,9,0)</f>
        <v>#REF!</v>
      </c>
      <c r="J119" s="5" t="e">
        <f t="shared" si="46"/>
        <v>#REF!</v>
      </c>
      <c r="K119" s="5" t="s">
        <v>833</v>
      </c>
      <c r="L119" s="5" t="s">
        <v>151</v>
      </c>
      <c r="M119" s="5" t="s">
        <v>834</v>
      </c>
      <c r="N119" s="10" t="e">
        <f>VLOOKUP(D119,#REF!,80,0)</f>
        <v>#REF!</v>
      </c>
      <c r="O119" s="11" t="e">
        <f t="shared" si="47"/>
        <v>#REF!</v>
      </c>
      <c r="P119" s="5" t="s">
        <v>479</v>
      </c>
      <c r="Q119" s="5" t="e">
        <f>VLOOKUP(D119,#REF!,50,0)</f>
        <v>#REF!</v>
      </c>
      <c r="R119" s="5" t="e">
        <f t="shared" si="48"/>
        <v>#REF!</v>
      </c>
      <c r="S119" s="5" t="s">
        <v>776</v>
      </c>
      <c r="T119" s="5" t="e">
        <f>VLOOKUP(D119,#REF!,21,0)</f>
        <v>#REF!</v>
      </c>
      <c r="U119" s="5" t="e">
        <f t="shared" si="49"/>
        <v>#REF!</v>
      </c>
      <c r="V119" s="5" t="s">
        <v>481</v>
      </c>
      <c r="W119" s="5" t="e">
        <f>VLOOKUP(D119,#REF!,51,0)</f>
        <v>#REF!</v>
      </c>
      <c r="X119" s="5" t="e">
        <f t="shared" si="50"/>
        <v>#REF!</v>
      </c>
      <c r="Y119" s="5" t="s">
        <v>192</v>
      </c>
      <c r="Z119" s="5" t="s">
        <v>193</v>
      </c>
      <c r="AA119" s="14">
        <v>9.8800000000000008</v>
      </c>
      <c r="AB119" s="14">
        <v>73549</v>
      </c>
      <c r="AC119" s="14" t="e">
        <f>ROUND(VLOOKUP(D119,#REF!,59,0),0)</f>
        <v>#REF!</v>
      </c>
      <c r="AD119" s="14" t="e">
        <f t="shared" si="73"/>
        <v>#REF!</v>
      </c>
      <c r="AE119" s="14">
        <v>73549</v>
      </c>
      <c r="AF119" s="14">
        <f t="shared" si="74"/>
        <v>73549</v>
      </c>
      <c r="AG119" s="14">
        <f t="shared" si="75"/>
        <v>0</v>
      </c>
      <c r="AH119" s="14">
        <v>0</v>
      </c>
      <c r="AI119" s="14"/>
      <c r="AJ119" s="14"/>
      <c r="AK119" s="14">
        <v>0</v>
      </c>
      <c r="AL119" s="14"/>
      <c r="AM119" s="14"/>
      <c r="AN119" s="14">
        <v>0</v>
      </c>
      <c r="AO119" s="14">
        <v>0</v>
      </c>
      <c r="AP119" s="14">
        <f>IFERROR(VLOOKUP('Feb for check'!D119,#REF!,15,0),0)</f>
        <v>0</v>
      </c>
      <c r="AQ119" s="14">
        <f t="shared" si="51"/>
        <v>0</v>
      </c>
      <c r="AR119" s="14">
        <v>0</v>
      </c>
      <c r="AS119" s="14">
        <f t="shared" si="52"/>
        <v>0</v>
      </c>
      <c r="AT119" s="14">
        <f t="shared" si="53"/>
        <v>0</v>
      </c>
      <c r="AU119" s="14">
        <v>0</v>
      </c>
      <c r="AV119" s="14"/>
      <c r="AW119" s="14">
        <v>0</v>
      </c>
      <c r="AX119" s="14"/>
      <c r="AY119" s="14">
        <v>0</v>
      </c>
      <c r="AZ119" s="14"/>
      <c r="BA119" s="14">
        <v>0</v>
      </c>
      <c r="BB119" s="14">
        <f>IFERROR(VLOOKUP(D119,#REF!,2,0),0)</f>
        <v>0</v>
      </c>
      <c r="BC119" s="14" t="e">
        <f>MAX(VLOOKUP(D119,#REF!,13,0)-VLOOKUP(D119,#REF!,14,0),0)</f>
        <v>#REF!</v>
      </c>
      <c r="BD119" s="14">
        <f>IFERROR(VLOOKUP(D119,#REF!,3,0),0)</f>
        <v>0</v>
      </c>
      <c r="BE119" s="14" t="e">
        <f>MAX(VLOOKUP(D119,#REF!,22,0)-VLOOKUP(D119,#REF!,23,0),0)</f>
        <v>#REF!</v>
      </c>
      <c r="BF119" s="14" t="e">
        <f t="shared" si="54"/>
        <v>#REF!</v>
      </c>
      <c r="BG119" s="14" t="e">
        <f t="shared" si="55"/>
        <v>#REF!</v>
      </c>
      <c r="BH119" s="14">
        <v>0</v>
      </c>
      <c r="BI119" s="14"/>
      <c r="BJ119" s="14"/>
      <c r="BK119" s="14">
        <v>0</v>
      </c>
      <c r="BL119" s="14">
        <f t="shared" si="56"/>
        <v>0</v>
      </c>
      <c r="BM119" s="14">
        <f t="shared" si="57"/>
        <v>0</v>
      </c>
      <c r="BN119" s="14">
        <v>0</v>
      </c>
      <c r="BO119" s="14"/>
      <c r="BP119" s="14"/>
      <c r="BQ119" s="14"/>
      <c r="BR119" s="14">
        <v>0</v>
      </c>
      <c r="BS119" s="14"/>
      <c r="BT119" s="14">
        <v>0</v>
      </c>
      <c r="BU119" s="14"/>
      <c r="BV119" s="14">
        <v>0</v>
      </c>
      <c r="BW119" s="14"/>
      <c r="BX119" s="14">
        <v>73549</v>
      </c>
      <c r="BY119" s="14">
        <f t="shared" si="58"/>
        <v>73549</v>
      </c>
      <c r="BZ119" s="14">
        <f t="shared" si="59"/>
        <v>0</v>
      </c>
      <c r="CA119" s="14">
        <v>73549</v>
      </c>
      <c r="CB119" s="14">
        <f t="shared" si="60"/>
        <v>73549</v>
      </c>
      <c r="CC119" s="14">
        <f t="shared" si="61"/>
        <v>0</v>
      </c>
      <c r="CD119" s="14">
        <v>0</v>
      </c>
      <c r="CE119" s="14"/>
      <c r="CF119" s="14"/>
      <c r="CG119" s="14">
        <v>0</v>
      </c>
      <c r="CH119" s="14"/>
      <c r="CI119" s="14">
        <v>2418.0493000000001</v>
      </c>
      <c r="CJ119" s="14">
        <v>0</v>
      </c>
      <c r="CK119" s="14"/>
      <c r="CL119" s="14">
        <v>0</v>
      </c>
      <c r="CM119" s="14">
        <v>7.4999999999999997E-2</v>
      </c>
      <c r="CN119" s="14">
        <v>0</v>
      </c>
      <c r="CO119" s="14">
        <v>0</v>
      </c>
      <c r="CP119" s="14">
        <v>0</v>
      </c>
      <c r="CQ119" s="14"/>
      <c r="CR119" s="14">
        <v>0</v>
      </c>
      <c r="CS119" s="14"/>
      <c r="CT119" s="14">
        <v>1500</v>
      </c>
      <c r="CU119" s="14">
        <f t="shared" si="78"/>
        <v>1500</v>
      </c>
      <c r="CV119" s="14">
        <f t="shared" si="79"/>
        <v>0</v>
      </c>
      <c r="CW119" s="14">
        <v>0</v>
      </c>
      <c r="CX119" s="14">
        <f t="shared" si="62"/>
        <v>0</v>
      </c>
      <c r="CY119" s="14">
        <f t="shared" si="63"/>
        <v>0</v>
      </c>
      <c r="CZ119" s="14">
        <v>1500</v>
      </c>
      <c r="DA119" s="14">
        <f t="shared" si="64"/>
        <v>1500</v>
      </c>
      <c r="DB119" s="14">
        <f t="shared" si="65"/>
        <v>0</v>
      </c>
      <c r="DC119" s="14">
        <v>4016.18</v>
      </c>
      <c r="DD119" s="14">
        <f t="shared" si="66"/>
        <v>4016.18</v>
      </c>
      <c r="DE119" s="14">
        <f t="shared" si="67"/>
        <v>0</v>
      </c>
      <c r="DF119" s="14">
        <v>72049</v>
      </c>
      <c r="DG119" s="14">
        <f t="shared" si="68"/>
        <v>72049</v>
      </c>
      <c r="DH119" s="14">
        <f t="shared" si="69"/>
        <v>0</v>
      </c>
      <c r="DI119" s="14">
        <v>0</v>
      </c>
      <c r="DJ119" s="14">
        <f>IFERROR(VLOOKUP(D119,#REF!,2,0),0)</f>
        <v>0</v>
      </c>
      <c r="DK119" s="14">
        <f t="shared" si="70"/>
        <v>0</v>
      </c>
      <c r="DL119" s="14">
        <v>73549</v>
      </c>
      <c r="DM119" s="14">
        <v>1238662.95</v>
      </c>
      <c r="DN119" s="14">
        <v>6129.08</v>
      </c>
      <c r="DO119" s="14">
        <v>0</v>
      </c>
      <c r="DP119" s="14">
        <v>0</v>
      </c>
      <c r="DQ119" s="14">
        <v>73549</v>
      </c>
      <c r="DR119" s="14">
        <v>28</v>
      </c>
      <c r="DS119" s="14">
        <v>0</v>
      </c>
      <c r="DT119" s="5" t="s">
        <v>206</v>
      </c>
      <c r="DU119" s="5" t="s">
        <v>195</v>
      </c>
      <c r="DV119" s="5" t="s">
        <v>196</v>
      </c>
      <c r="DW119" s="5" t="s">
        <v>197</v>
      </c>
    </row>
    <row r="120" spans="1:127" ht="16.5">
      <c r="A120" s="5" t="s">
        <v>184</v>
      </c>
      <c r="B120" s="5" t="s">
        <v>147</v>
      </c>
      <c r="C120" s="5" t="s">
        <v>148</v>
      </c>
      <c r="D120" s="5" t="s">
        <v>835</v>
      </c>
      <c r="E120" s="5" t="e">
        <f>VLOOKUP(D120,#REF!,1,0)</f>
        <v>#REF!</v>
      </c>
      <c r="F120" s="5" t="s">
        <v>222</v>
      </c>
      <c r="G120" s="5" t="s">
        <v>836</v>
      </c>
      <c r="H120" s="5" t="str">
        <f t="shared" si="45"/>
        <v>TIN CHUNG Lam</v>
      </c>
      <c r="I120" s="5" t="e">
        <f>VLOOKUP(D120,#REF!,9,0)</f>
        <v>#REF!</v>
      </c>
      <c r="J120" s="5" t="e">
        <f t="shared" si="46"/>
        <v>#REF!</v>
      </c>
      <c r="K120" s="5" t="s">
        <v>837</v>
      </c>
      <c r="L120" s="5" t="s">
        <v>151</v>
      </c>
      <c r="M120" s="5" t="s">
        <v>838</v>
      </c>
      <c r="N120" s="10" t="e">
        <f>VLOOKUP(D120,#REF!,80,0)</f>
        <v>#REF!</v>
      </c>
      <c r="O120" s="11" t="e">
        <f t="shared" si="47"/>
        <v>#REF!</v>
      </c>
      <c r="P120" s="5" t="s">
        <v>153</v>
      </c>
      <c r="Q120" s="5" t="e">
        <f>VLOOKUP(D120,#REF!,50,0)</f>
        <v>#REF!</v>
      </c>
      <c r="R120" s="5" t="e">
        <f t="shared" si="48"/>
        <v>#REF!</v>
      </c>
      <c r="S120" s="5" t="s">
        <v>839</v>
      </c>
      <c r="T120" s="5" t="e">
        <f>VLOOKUP(D120,#REF!,21,0)</f>
        <v>#REF!</v>
      </c>
      <c r="U120" s="5" t="e">
        <f t="shared" si="49"/>
        <v>#REF!</v>
      </c>
      <c r="V120" s="5" t="s">
        <v>212</v>
      </c>
      <c r="W120" s="5" t="e">
        <f>VLOOKUP(D120,#REF!,51,0)</f>
        <v>#REF!</v>
      </c>
      <c r="X120" s="5" t="e">
        <f t="shared" si="50"/>
        <v>#REF!</v>
      </c>
      <c r="Y120" s="5" t="s">
        <v>192</v>
      </c>
      <c r="Z120" s="5" t="s">
        <v>193</v>
      </c>
      <c r="AA120" s="14">
        <v>1.79</v>
      </c>
      <c r="AB120" s="14">
        <v>52640.23</v>
      </c>
      <c r="AC120" s="15" t="e">
        <f>ROUND(VLOOKUP(D120,#REF!,59,0),0)</f>
        <v>#REF!</v>
      </c>
      <c r="AD120" s="14" t="e">
        <f t="shared" si="73"/>
        <v>#REF!</v>
      </c>
      <c r="AE120" s="14">
        <v>54173.46</v>
      </c>
      <c r="AF120" s="15" t="e">
        <f>AB120+AB120-VLOOKUP(D120,#REF!,14,0)</f>
        <v>#REF!</v>
      </c>
      <c r="AG120" s="14" t="e">
        <f t="shared" si="75"/>
        <v>#REF!</v>
      </c>
      <c r="AH120" s="14">
        <v>0</v>
      </c>
      <c r="AI120" s="14"/>
      <c r="AJ120" s="14"/>
      <c r="AK120" s="14">
        <v>0</v>
      </c>
      <c r="AL120" s="14"/>
      <c r="AM120" s="14"/>
      <c r="AN120" s="14">
        <v>0</v>
      </c>
      <c r="AO120" s="14">
        <v>0</v>
      </c>
      <c r="AP120" s="14">
        <f>IFERROR(VLOOKUP('Feb for check'!D120,#REF!,15,0),0)</f>
        <v>0</v>
      </c>
      <c r="AQ120" s="14">
        <f t="shared" si="51"/>
        <v>0</v>
      </c>
      <c r="AR120" s="14">
        <v>0</v>
      </c>
      <c r="AS120" s="14">
        <f t="shared" si="52"/>
        <v>0</v>
      </c>
      <c r="AT120" s="14">
        <f t="shared" si="53"/>
        <v>0</v>
      </c>
      <c r="AU120" s="14">
        <v>0</v>
      </c>
      <c r="AV120" s="14"/>
      <c r="AW120" s="14">
        <v>0</v>
      </c>
      <c r="AX120" s="14"/>
      <c r="AY120" s="14">
        <v>0</v>
      </c>
      <c r="AZ120" s="14"/>
      <c r="BA120" s="14">
        <v>2314.48</v>
      </c>
      <c r="BB120" s="14">
        <f>IFERROR(VLOOKUP(D120,#REF!,2,0),0)</f>
        <v>0</v>
      </c>
      <c r="BC120" s="14" t="e">
        <f>MAX(VLOOKUP(D120,#REF!,13,0)-VLOOKUP(D120,#REF!,14,0),0)</f>
        <v>#REF!</v>
      </c>
      <c r="BD120" s="14">
        <f>IFERROR(VLOOKUP(D120,#REF!,3,0),0)</f>
        <v>0</v>
      </c>
      <c r="BE120" s="14" t="e">
        <f>MAX(VLOOKUP(D120,#REF!,22,0)-VLOOKUP(D120,#REF!,23,0),0)</f>
        <v>#REF!</v>
      </c>
      <c r="BF120" s="14" t="e">
        <f t="shared" si="54"/>
        <v>#REF!</v>
      </c>
      <c r="BG120" s="14" t="e">
        <f t="shared" si="55"/>
        <v>#REF!</v>
      </c>
      <c r="BH120" s="14">
        <v>0</v>
      </c>
      <c r="BI120" s="14"/>
      <c r="BJ120" s="14"/>
      <c r="BK120" s="14">
        <v>0</v>
      </c>
      <c r="BL120" s="14">
        <f t="shared" si="56"/>
        <v>0</v>
      </c>
      <c r="BM120" s="14">
        <f t="shared" si="57"/>
        <v>0</v>
      </c>
      <c r="BN120" s="14">
        <v>0</v>
      </c>
      <c r="BO120" s="14"/>
      <c r="BP120" s="14"/>
      <c r="BQ120" s="14"/>
      <c r="BR120" s="14">
        <v>0</v>
      </c>
      <c r="BS120" s="14"/>
      <c r="BT120" s="14">
        <v>0</v>
      </c>
      <c r="BU120" s="14"/>
      <c r="BV120" s="14">
        <v>0</v>
      </c>
      <c r="BW120" s="14"/>
      <c r="BX120" s="14">
        <v>56487.94</v>
      </c>
      <c r="BY120" s="14">
        <f t="shared" si="58"/>
        <v>56487.94</v>
      </c>
      <c r="BZ120" s="14">
        <f t="shared" si="59"/>
        <v>0</v>
      </c>
      <c r="CA120" s="14">
        <v>56487.94</v>
      </c>
      <c r="CB120" s="14">
        <f t="shared" si="60"/>
        <v>56487.94</v>
      </c>
      <c r="CC120" s="14">
        <f t="shared" si="61"/>
        <v>0</v>
      </c>
      <c r="CD120" s="14">
        <v>0</v>
      </c>
      <c r="CE120" s="14"/>
      <c r="CF120" s="14"/>
      <c r="CG120" s="14">
        <v>0</v>
      </c>
      <c r="CH120" s="14"/>
      <c r="CI120" s="14">
        <v>1680.2301</v>
      </c>
      <c r="CJ120" s="14">
        <v>0</v>
      </c>
      <c r="CK120" s="14"/>
      <c r="CL120" s="14">
        <v>0</v>
      </c>
      <c r="CM120" s="14">
        <v>7.4999999999999997E-2</v>
      </c>
      <c r="CN120" s="14">
        <v>0</v>
      </c>
      <c r="CO120" s="14">
        <v>0</v>
      </c>
      <c r="CP120" s="14">
        <v>0</v>
      </c>
      <c r="CQ120" s="14"/>
      <c r="CR120" s="14">
        <v>0</v>
      </c>
      <c r="CS120" s="14"/>
      <c r="CT120" s="14">
        <v>1500</v>
      </c>
      <c r="CU120" s="14">
        <f t="shared" si="78"/>
        <v>1500</v>
      </c>
      <c r="CV120" s="14">
        <f t="shared" si="79"/>
        <v>0</v>
      </c>
      <c r="CW120" s="14">
        <v>0</v>
      </c>
      <c r="CX120" s="14">
        <f t="shared" si="62"/>
        <v>0</v>
      </c>
      <c r="CY120" s="14">
        <f t="shared" si="63"/>
        <v>0</v>
      </c>
      <c r="CZ120" s="14">
        <v>1500</v>
      </c>
      <c r="DA120" s="14">
        <f t="shared" si="64"/>
        <v>1500</v>
      </c>
      <c r="DB120" s="14">
        <f t="shared" si="65"/>
        <v>0</v>
      </c>
      <c r="DC120" s="14">
        <v>2736.6</v>
      </c>
      <c r="DD120" s="14">
        <f t="shared" si="66"/>
        <v>2736.6</v>
      </c>
      <c r="DE120" s="14">
        <f t="shared" si="67"/>
        <v>0</v>
      </c>
      <c r="DF120" s="14">
        <v>54987.94</v>
      </c>
      <c r="DG120" s="14">
        <f t="shared" si="68"/>
        <v>54987.94</v>
      </c>
      <c r="DH120" s="14">
        <f t="shared" si="69"/>
        <v>0</v>
      </c>
      <c r="DI120" s="14">
        <v>0</v>
      </c>
      <c r="DJ120" s="14">
        <f>IFERROR(VLOOKUP(D120,#REF!,2,0),0)</f>
        <v>0</v>
      </c>
      <c r="DK120" s="14">
        <f t="shared" si="70"/>
        <v>0</v>
      </c>
      <c r="DL120" s="14">
        <v>56487.94</v>
      </c>
      <c r="DM120" s="14">
        <v>787338.09</v>
      </c>
      <c r="DN120" s="14">
        <v>4386.6899999999996</v>
      </c>
      <c r="DO120" s="14">
        <v>2314.48</v>
      </c>
      <c r="DP120" s="14">
        <v>0</v>
      </c>
      <c r="DQ120" s="14">
        <v>56487.94</v>
      </c>
      <c r="DR120" s="14">
        <v>28</v>
      </c>
      <c r="DS120" s="14">
        <v>0</v>
      </c>
      <c r="DT120" s="5" t="s">
        <v>206</v>
      </c>
      <c r="DU120" s="5" t="s">
        <v>195</v>
      </c>
      <c r="DV120" s="5" t="s">
        <v>196</v>
      </c>
      <c r="DW120" s="5" t="s">
        <v>197</v>
      </c>
    </row>
    <row r="121" spans="1:127" ht="16.5">
      <c r="A121" s="5" t="s">
        <v>184</v>
      </c>
      <c r="B121" s="5" t="s">
        <v>147</v>
      </c>
      <c r="C121" s="5" t="s">
        <v>148</v>
      </c>
      <c r="D121" s="5" t="s">
        <v>840</v>
      </c>
      <c r="E121" s="5" t="e">
        <f>VLOOKUP(D121,#REF!,1,0)</f>
        <v>#REF!</v>
      </c>
      <c r="F121" s="5" t="s">
        <v>667</v>
      </c>
      <c r="G121" s="5" t="s">
        <v>841</v>
      </c>
      <c r="H121" s="5" t="str">
        <f t="shared" si="45"/>
        <v>Tsz Kwan Yip</v>
      </c>
      <c r="I121" s="5" t="e">
        <f>VLOOKUP(D121,#REF!,9,0)</f>
        <v>#REF!</v>
      </c>
      <c r="J121" s="5" t="e">
        <f t="shared" si="46"/>
        <v>#REF!</v>
      </c>
      <c r="K121" s="5" t="s">
        <v>842</v>
      </c>
      <c r="L121" s="5" t="s">
        <v>151</v>
      </c>
      <c r="M121" s="5" t="s">
        <v>843</v>
      </c>
      <c r="N121" s="10" t="e">
        <f>VLOOKUP(D121,#REF!,80,0)</f>
        <v>#REF!</v>
      </c>
      <c r="O121" s="11" t="e">
        <f t="shared" si="47"/>
        <v>#REF!</v>
      </c>
      <c r="P121" s="5" t="s">
        <v>500</v>
      </c>
      <c r="Q121" s="5" t="e">
        <f>VLOOKUP(D121,#REF!,50,0)</f>
        <v>#REF!</v>
      </c>
      <c r="R121" s="5" t="e">
        <f t="shared" si="48"/>
        <v>#REF!</v>
      </c>
      <c r="S121" s="5" t="s">
        <v>722</v>
      </c>
      <c r="T121" s="5" t="e">
        <f>VLOOKUP(D121,#REF!,21,0)</f>
        <v>#REF!</v>
      </c>
      <c r="U121" s="5" t="e">
        <f t="shared" si="49"/>
        <v>#REF!</v>
      </c>
      <c r="V121" s="5" t="s">
        <v>502</v>
      </c>
      <c r="W121" s="5" t="e">
        <f>VLOOKUP(D121,#REF!,51,0)</f>
        <v>#REF!</v>
      </c>
      <c r="X121" s="5" t="e">
        <f t="shared" si="50"/>
        <v>#REF!</v>
      </c>
      <c r="Y121" s="5" t="s">
        <v>192</v>
      </c>
      <c r="Z121" s="5" t="s">
        <v>193</v>
      </c>
      <c r="AA121" s="14">
        <v>1.68</v>
      </c>
      <c r="AB121" s="14">
        <v>69550</v>
      </c>
      <c r="AC121" s="14" t="e">
        <f>ROUND(VLOOKUP(D121,#REF!,59,0),0)</f>
        <v>#REF!</v>
      </c>
      <c r="AD121" s="14" t="e">
        <f t="shared" si="73"/>
        <v>#REF!</v>
      </c>
      <c r="AE121" s="14">
        <v>69550</v>
      </c>
      <c r="AF121" s="14">
        <f t="shared" si="74"/>
        <v>69550</v>
      </c>
      <c r="AG121" s="14">
        <f t="shared" si="75"/>
        <v>0</v>
      </c>
      <c r="AH121" s="14">
        <v>0</v>
      </c>
      <c r="AI121" s="14"/>
      <c r="AJ121" s="14"/>
      <c r="AK121" s="14">
        <v>0</v>
      </c>
      <c r="AL121" s="14"/>
      <c r="AM121" s="14"/>
      <c r="AN121" s="14">
        <v>0</v>
      </c>
      <c r="AO121" s="14">
        <v>0</v>
      </c>
      <c r="AP121" s="14">
        <f>IFERROR(VLOOKUP('Feb for check'!D121,#REF!,15,0),0)</f>
        <v>0</v>
      </c>
      <c r="AQ121" s="14">
        <f t="shared" si="51"/>
        <v>0</v>
      </c>
      <c r="AR121" s="14">
        <v>0</v>
      </c>
      <c r="AS121" s="14">
        <f t="shared" si="52"/>
        <v>0</v>
      </c>
      <c r="AT121" s="14">
        <f t="shared" si="53"/>
        <v>0</v>
      </c>
      <c r="AU121" s="14">
        <v>0</v>
      </c>
      <c r="AV121" s="14"/>
      <c r="AW121" s="14">
        <v>0</v>
      </c>
      <c r="AX121" s="14"/>
      <c r="AY121" s="14">
        <v>0</v>
      </c>
      <c r="AZ121" s="14"/>
      <c r="BA121" s="14">
        <v>0</v>
      </c>
      <c r="BB121" s="14">
        <f>IFERROR(VLOOKUP(D121,#REF!,2,0),0)</f>
        <v>0</v>
      </c>
      <c r="BC121" s="14" t="e">
        <f>MAX(VLOOKUP(D121,#REF!,13,0)-VLOOKUP(D121,#REF!,14,0),0)</f>
        <v>#REF!</v>
      </c>
      <c r="BD121" s="14">
        <f>IFERROR(VLOOKUP(D121,#REF!,3,0),0)</f>
        <v>0</v>
      </c>
      <c r="BE121" s="14" t="e">
        <f>MAX(VLOOKUP(D121,#REF!,22,0)-VLOOKUP(D121,#REF!,23,0),0)</f>
        <v>#REF!</v>
      </c>
      <c r="BF121" s="14" t="e">
        <f t="shared" si="54"/>
        <v>#REF!</v>
      </c>
      <c r="BG121" s="14" t="e">
        <f t="shared" si="55"/>
        <v>#REF!</v>
      </c>
      <c r="BH121" s="14">
        <v>0</v>
      </c>
      <c r="BI121" s="14"/>
      <c r="BJ121" s="14"/>
      <c r="BK121" s="14">
        <v>0</v>
      </c>
      <c r="BL121" s="14">
        <f t="shared" si="56"/>
        <v>0</v>
      </c>
      <c r="BM121" s="14">
        <f t="shared" si="57"/>
        <v>0</v>
      </c>
      <c r="BN121" s="14">
        <v>0</v>
      </c>
      <c r="BO121" s="14"/>
      <c r="BP121" s="14"/>
      <c r="BQ121" s="14"/>
      <c r="BR121" s="14">
        <v>0</v>
      </c>
      <c r="BS121" s="14"/>
      <c r="BT121" s="14">
        <v>0</v>
      </c>
      <c r="BU121" s="14"/>
      <c r="BV121" s="14">
        <v>0</v>
      </c>
      <c r="BW121" s="14"/>
      <c r="BX121" s="14">
        <v>69550</v>
      </c>
      <c r="BY121" s="14">
        <f t="shared" si="58"/>
        <v>69550</v>
      </c>
      <c r="BZ121" s="14">
        <f t="shared" si="59"/>
        <v>0</v>
      </c>
      <c r="CA121" s="14">
        <v>69550</v>
      </c>
      <c r="CB121" s="14">
        <f t="shared" si="60"/>
        <v>69550</v>
      </c>
      <c r="CC121" s="14">
        <f t="shared" si="61"/>
        <v>0</v>
      </c>
      <c r="CD121" s="14">
        <v>0</v>
      </c>
      <c r="CE121" s="14"/>
      <c r="CF121" s="14"/>
      <c r="CG121" s="14">
        <v>0</v>
      </c>
      <c r="CH121" s="14"/>
      <c r="CI121" s="14">
        <v>2286.5753</v>
      </c>
      <c r="CJ121" s="14">
        <v>0.05</v>
      </c>
      <c r="CK121" s="14" t="e">
        <f>VLOOKUP(D121,#REF!,6,0)</f>
        <v>#REF!</v>
      </c>
      <c r="CL121" s="14">
        <v>0</v>
      </c>
      <c r="CM121" s="14">
        <v>0.1</v>
      </c>
      <c r="CN121" s="14">
        <v>0</v>
      </c>
      <c r="CO121" s="14">
        <v>0</v>
      </c>
      <c r="CP121" s="14">
        <v>0</v>
      </c>
      <c r="CQ121" s="14"/>
      <c r="CR121" s="14">
        <v>0</v>
      </c>
      <c r="CS121" s="14"/>
      <c r="CT121" s="14">
        <v>1500</v>
      </c>
      <c r="CU121" s="14">
        <f t="shared" si="78"/>
        <v>1500</v>
      </c>
      <c r="CV121" s="14">
        <f t="shared" si="79"/>
        <v>0</v>
      </c>
      <c r="CW121" s="14">
        <v>7075.55</v>
      </c>
      <c r="CX121" s="15" t="e">
        <f>ROUND(CA121*CJ121,2)+#REF!</f>
        <v>#REF!</v>
      </c>
      <c r="CY121" s="15" t="s">
        <v>723</v>
      </c>
      <c r="CZ121" s="14">
        <v>1500</v>
      </c>
      <c r="DA121" s="14">
        <f t="shared" si="64"/>
        <v>1500</v>
      </c>
      <c r="DB121" s="14">
        <f t="shared" si="65"/>
        <v>0</v>
      </c>
      <c r="DC121" s="14">
        <v>7254.03</v>
      </c>
      <c r="DD121" s="14" t="e">
        <f>MAX(ROUND(CA121*CM121-CZ121,2),0)+#REF!</f>
        <v>#REF!</v>
      </c>
      <c r="DE121" s="15" t="s">
        <v>723</v>
      </c>
      <c r="DF121" s="14">
        <v>60974.45</v>
      </c>
      <c r="DG121" s="14">
        <f t="shared" si="68"/>
        <v>60974.45</v>
      </c>
      <c r="DH121" s="14">
        <f t="shared" si="69"/>
        <v>0</v>
      </c>
      <c r="DI121" s="14">
        <v>0</v>
      </c>
      <c r="DJ121" s="14">
        <f>IFERROR(VLOOKUP(D121,#REF!,2,0),0)</f>
        <v>0</v>
      </c>
      <c r="DK121" s="14">
        <f t="shared" si="70"/>
        <v>0</v>
      </c>
      <c r="DL121" s="14">
        <v>69550</v>
      </c>
      <c r="DM121" s="14">
        <v>1052662.83</v>
      </c>
      <c r="DN121" s="14">
        <v>5795.83</v>
      </c>
      <c r="DO121" s="14">
        <v>0</v>
      </c>
      <c r="DP121" s="14">
        <v>0</v>
      </c>
      <c r="DQ121" s="14">
        <v>69550</v>
      </c>
      <c r="DR121" s="14">
        <v>28</v>
      </c>
      <c r="DS121" s="14">
        <v>0</v>
      </c>
      <c r="DT121" s="5" t="s">
        <v>206</v>
      </c>
      <c r="DU121" s="5" t="s">
        <v>195</v>
      </c>
      <c r="DV121" s="5" t="s">
        <v>196</v>
      </c>
      <c r="DW121" s="5" t="s">
        <v>197</v>
      </c>
    </row>
    <row r="122" spans="1:127" ht="16.5">
      <c r="A122" s="5" t="s">
        <v>184</v>
      </c>
      <c r="B122" s="5" t="s">
        <v>147</v>
      </c>
      <c r="C122" s="5" t="s">
        <v>148</v>
      </c>
      <c r="D122" s="5" t="s">
        <v>844</v>
      </c>
      <c r="E122" s="5" t="e">
        <f>VLOOKUP(D122,#REF!,1,0)</f>
        <v>#REF!</v>
      </c>
      <c r="F122" s="5" t="s">
        <v>845</v>
      </c>
      <c r="G122" s="5" t="s">
        <v>846</v>
      </c>
      <c r="H122" s="5" t="str">
        <f t="shared" si="45"/>
        <v>Chung Danny Hsu</v>
      </c>
      <c r="I122" s="5" t="e">
        <f>VLOOKUP(D122,#REF!,9,0)</f>
        <v>#REF!</v>
      </c>
      <c r="J122" s="5" t="e">
        <f t="shared" si="46"/>
        <v>#REF!</v>
      </c>
      <c r="K122" s="5" t="s">
        <v>847</v>
      </c>
      <c r="L122" s="5" t="s">
        <v>151</v>
      </c>
      <c r="M122" s="5" t="s">
        <v>848</v>
      </c>
      <c r="N122" s="10" t="e">
        <f>VLOOKUP(D122,#REF!,80,0)</f>
        <v>#REF!</v>
      </c>
      <c r="O122" s="11" t="e">
        <f t="shared" si="47"/>
        <v>#REF!</v>
      </c>
      <c r="P122" s="5" t="s">
        <v>849</v>
      </c>
      <c r="Q122" s="5" t="e">
        <f>VLOOKUP(D122,#REF!,50,0)</f>
        <v>#REF!</v>
      </c>
      <c r="R122" s="5" t="e">
        <f t="shared" si="48"/>
        <v>#REF!</v>
      </c>
      <c r="S122" s="5" t="s">
        <v>850</v>
      </c>
      <c r="T122" s="5" t="e">
        <f>VLOOKUP(D122,#REF!,21,0)</f>
        <v>#REF!</v>
      </c>
      <c r="U122" s="5" t="e">
        <f t="shared" si="49"/>
        <v>#REF!</v>
      </c>
      <c r="V122" s="5" t="s">
        <v>851</v>
      </c>
      <c r="W122" s="5" t="e">
        <f>VLOOKUP(D122,#REF!,51,0)</f>
        <v>#REF!</v>
      </c>
      <c r="X122" s="5" t="e">
        <f t="shared" si="50"/>
        <v>#REF!</v>
      </c>
      <c r="Y122" s="5" t="s">
        <v>192</v>
      </c>
      <c r="Z122" s="5" t="s">
        <v>193</v>
      </c>
      <c r="AA122" s="14">
        <v>8.15</v>
      </c>
      <c r="AB122" s="14">
        <v>136675</v>
      </c>
      <c r="AC122" s="14" t="e">
        <f>ROUND(VLOOKUP(D122,#REF!,59,0),0)</f>
        <v>#REF!</v>
      </c>
      <c r="AD122" s="14" t="e">
        <f t="shared" si="73"/>
        <v>#REF!</v>
      </c>
      <c r="AE122" s="14">
        <v>136675</v>
      </c>
      <c r="AF122" s="14">
        <f t="shared" si="74"/>
        <v>136675</v>
      </c>
      <c r="AG122" s="14">
        <f t="shared" si="75"/>
        <v>0</v>
      </c>
      <c r="AH122" s="14">
        <v>0</v>
      </c>
      <c r="AI122" s="14"/>
      <c r="AJ122" s="14"/>
      <c r="AK122" s="14">
        <v>0</v>
      </c>
      <c r="AL122" s="14"/>
      <c r="AM122" s="14"/>
      <c r="AN122" s="14">
        <v>0</v>
      </c>
      <c r="AO122" s="14">
        <v>0</v>
      </c>
      <c r="AP122" s="14">
        <f>IFERROR(VLOOKUP('Feb for check'!D122,#REF!,15,0),0)</f>
        <v>0</v>
      </c>
      <c r="AQ122" s="14">
        <f t="shared" si="51"/>
        <v>0</v>
      </c>
      <c r="AR122" s="14">
        <v>0</v>
      </c>
      <c r="AS122" s="14">
        <f t="shared" si="52"/>
        <v>0</v>
      </c>
      <c r="AT122" s="14">
        <f t="shared" si="53"/>
        <v>0</v>
      </c>
      <c r="AU122" s="14">
        <v>0</v>
      </c>
      <c r="AV122" s="14"/>
      <c r="AW122" s="14">
        <v>0</v>
      </c>
      <c r="AX122" s="14"/>
      <c r="AY122" s="14">
        <v>0</v>
      </c>
      <c r="AZ122" s="14"/>
      <c r="BA122" s="14">
        <v>9307.11</v>
      </c>
      <c r="BB122" s="14">
        <f>IFERROR(VLOOKUP(D122,#REF!,2,0),0)</f>
        <v>0</v>
      </c>
      <c r="BC122" s="14" t="e">
        <f>MAX(VLOOKUP(D122,#REF!,13,0)-VLOOKUP(D122,#REF!,14,0),0)</f>
        <v>#REF!</v>
      </c>
      <c r="BD122" s="14">
        <f>IFERROR(VLOOKUP(D122,#REF!,3,0),0)</f>
        <v>0</v>
      </c>
      <c r="BE122" s="14" t="e">
        <f>MAX(VLOOKUP(D122,#REF!,22,0)-VLOOKUP(D122,#REF!,23,0),0)</f>
        <v>#REF!</v>
      </c>
      <c r="BF122" s="14" t="e">
        <f t="shared" si="54"/>
        <v>#REF!</v>
      </c>
      <c r="BG122" s="14" t="e">
        <f t="shared" si="55"/>
        <v>#REF!</v>
      </c>
      <c r="BH122" s="14">
        <v>0</v>
      </c>
      <c r="BI122" s="14"/>
      <c r="BJ122" s="14"/>
      <c r="BK122" s="14">
        <v>459</v>
      </c>
      <c r="BL122" s="14">
        <f t="shared" si="56"/>
        <v>459</v>
      </c>
      <c r="BM122" s="14">
        <f t="shared" si="57"/>
        <v>0</v>
      </c>
      <c r="BN122" s="14">
        <v>0</v>
      </c>
      <c r="BO122" s="14"/>
      <c r="BP122" s="14"/>
      <c r="BQ122" s="14"/>
      <c r="BR122" s="14">
        <v>0</v>
      </c>
      <c r="BS122" s="14"/>
      <c r="BT122" s="14">
        <v>0</v>
      </c>
      <c r="BU122" s="14"/>
      <c r="BV122" s="14">
        <v>0</v>
      </c>
      <c r="BW122" s="14"/>
      <c r="BX122" s="14">
        <v>146441.10999999999</v>
      </c>
      <c r="BY122" s="14">
        <f t="shared" si="58"/>
        <v>146441.10999999999</v>
      </c>
      <c r="BZ122" s="14">
        <f t="shared" si="59"/>
        <v>0</v>
      </c>
      <c r="CA122" s="14">
        <v>145982.10999999999</v>
      </c>
      <c r="CB122" s="14">
        <f t="shared" si="60"/>
        <v>145982.10999999999</v>
      </c>
      <c r="CC122" s="14">
        <f t="shared" si="61"/>
        <v>0</v>
      </c>
      <c r="CD122" s="14">
        <v>0</v>
      </c>
      <c r="CE122" s="14"/>
      <c r="CF122" s="14"/>
      <c r="CG122" s="14">
        <v>0</v>
      </c>
      <c r="CH122" s="14"/>
      <c r="CI122" s="14">
        <v>4493.4246000000003</v>
      </c>
      <c r="CJ122" s="14">
        <v>0</v>
      </c>
      <c r="CK122" s="14"/>
      <c r="CL122" s="14">
        <v>0</v>
      </c>
      <c r="CM122" s="14">
        <v>7.4999999999999997E-2</v>
      </c>
      <c r="CN122" s="14">
        <v>0</v>
      </c>
      <c r="CO122" s="14">
        <v>0</v>
      </c>
      <c r="CP122" s="14">
        <v>0</v>
      </c>
      <c r="CQ122" s="14"/>
      <c r="CR122" s="14">
        <v>0</v>
      </c>
      <c r="CS122" s="14"/>
      <c r="CT122" s="14">
        <v>1500</v>
      </c>
      <c r="CU122" s="14">
        <f t="shared" si="78"/>
        <v>1500</v>
      </c>
      <c r="CV122" s="14">
        <f t="shared" si="79"/>
        <v>0</v>
      </c>
      <c r="CW122" s="14">
        <v>0</v>
      </c>
      <c r="CX122" s="14">
        <f t="shared" si="62"/>
        <v>0</v>
      </c>
      <c r="CY122" s="14">
        <f t="shared" si="63"/>
        <v>0</v>
      </c>
      <c r="CZ122" s="14">
        <v>1500</v>
      </c>
      <c r="DA122" s="14">
        <f t="shared" si="64"/>
        <v>1500</v>
      </c>
      <c r="DB122" s="14">
        <f t="shared" si="65"/>
        <v>0</v>
      </c>
      <c r="DC122" s="14">
        <v>9448.66</v>
      </c>
      <c r="DD122" s="14">
        <f t="shared" si="66"/>
        <v>9448.66</v>
      </c>
      <c r="DE122" s="14">
        <f t="shared" si="67"/>
        <v>0</v>
      </c>
      <c r="DF122" s="14">
        <v>144941.10999999999</v>
      </c>
      <c r="DG122" s="14">
        <f t="shared" si="68"/>
        <v>144941.10999999999</v>
      </c>
      <c r="DH122" s="14">
        <f t="shared" si="69"/>
        <v>0</v>
      </c>
      <c r="DI122" s="14">
        <v>2237.92</v>
      </c>
      <c r="DJ122" s="14">
        <f>IFERROR(VLOOKUP(D122,#REF!,2,0),0)</f>
        <v>0</v>
      </c>
      <c r="DK122" s="14">
        <f t="shared" si="70"/>
        <v>-2237.92</v>
      </c>
      <c r="DL122" s="14">
        <v>146441.10999999999</v>
      </c>
      <c r="DM122" s="14">
        <v>2447197.56</v>
      </c>
      <c r="DN122" s="14">
        <v>11389.58</v>
      </c>
      <c r="DO122" s="14">
        <v>9307.11</v>
      </c>
      <c r="DP122" s="14">
        <v>0</v>
      </c>
      <c r="DQ122" s="14">
        <v>145982.10999999999</v>
      </c>
      <c r="DR122" s="14">
        <v>28</v>
      </c>
      <c r="DS122" s="14">
        <v>0</v>
      </c>
      <c r="DT122" s="5" t="s">
        <v>206</v>
      </c>
      <c r="DU122" s="5" t="s">
        <v>195</v>
      </c>
      <c r="DV122" s="5" t="s">
        <v>196</v>
      </c>
      <c r="DW122" s="5" t="s">
        <v>197</v>
      </c>
    </row>
    <row r="123" spans="1:127" ht="16.5">
      <c r="A123" s="5" t="s">
        <v>184</v>
      </c>
      <c r="B123" s="5" t="s">
        <v>147</v>
      </c>
      <c r="C123" s="5" t="s">
        <v>148</v>
      </c>
      <c r="D123" s="5" t="s">
        <v>852</v>
      </c>
      <c r="E123" s="5" t="e">
        <f>VLOOKUP(D123,#REF!,1,0)</f>
        <v>#REF!</v>
      </c>
      <c r="F123" s="5" t="s">
        <v>264</v>
      </c>
      <c r="G123" s="5" t="s">
        <v>853</v>
      </c>
      <c r="H123" s="5" t="str">
        <f t="shared" si="45"/>
        <v>Suet Kwan Wong</v>
      </c>
      <c r="I123" s="5" t="e">
        <f>VLOOKUP(D123,#REF!,9,0)</f>
        <v>#REF!</v>
      </c>
      <c r="J123" s="5" t="e">
        <f t="shared" si="46"/>
        <v>#REF!</v>
      </c>
      <c r="K123" s="5" t="s">
        <v>854</v>
      </c>
      <c r="L123" s="5" t="s">
        <v>151</v>
      </c>
      <c r="M123" s="5" t="s">
        <v>855</v>
      </c>
      <c r="N123" s="10" t="e">
        <f>VLOOKUP(D123,#REF!,80,0)</f>
        <v>#REF!</v>
      </c>
      <c r="O123" s="11" t="e">
        <f t="shared" si="47"/>
        <v>#REF!</v>
      </c>
      <c r="P123" s="5" t="s">
        <v>500</v>
      </c>
      <c r="Q123" s="5" t="e">
        <f>VLOOKUP(D123,#REF!,50,0)</f>
        <v>#REF!</v>
      </c>
      <c r="R123" s="5" t="e">
        <f t="shared" si="48"/>
        <v>#REF!</v>
      </c>
      <c r="S123" s="5" t="s">
        <v>743</v>
      </c>
      <c r="T123" s="5" t="e">
        <f>VLOOKUP(D123,#REF!,21,0)</f>
        <v>#REF!</v>
      </c>
      <c r="U123" s="5" t="e">
        <f t="shared" si="49"/>
        <v>#REF!</v>
      </c>
      <c r="V123" s="5" t="s">
        <v>502</v>
      </c>
      <c r="W123" s="5" t="e">
        <f>VLOOKUP(D123,#REF!,51,0)</f>
        <v>#REF!</v>
      </c>
      <c r="X123" s="5" t="e">
        <f t="shared" si="50"/>
        <v>#REF!</v>
      </c>
      <c r="Y123" s="5" t="s">
        <v>192</v>
      </c>
      <c r="Z123" s="5" t="s">
        <v>193</v>
      </c>
      <c r="AA123" s="14">
        <v>24.66</v>
      </c>
      <c r="AB123" s="14">
        <v>49946</v>
      </c>
      <c r="AC123" s="14" t="e">
        <f>ROUND(VLOOKUP(D123,#REF!,59,0),0)</f>
        <v>#REF!</v>
      </c>
      <c r="AD123" s="14" t="e">
        <f t="shared" si="73"/>
        <v>#REF!</v>
      </c>
      <c r="AE123" s="14">
        <v>49946</v>
      </c>
      <c r="AF123" s="14">
        <f t="shared" si="74"/>
        <v>49946</v>
      </c>
      <c r="AG123" s="14">
        <f t="shared" si="75"/>
        <v>0</v>
      </c>
      <c r="AH123" s="14">
        <v>0</v>
      </c>
      <c r="AI123" s="14"/>
      <c r="AJ123" s="14"/>
      <c r="AK123" s="14">
        <v>0</v>
      </c>
      <c r="AL123" s="14"/>
      <c r="AM123" s="14"/>
      <c r="AN123" s="14">
        <v>0</v>
      </c>
      <c r="AO123" s="14">
        <v>0</v>
      </c>
      <c r="AP123" s="14">
        <f>IFERROR(VLOOKUP('Feb for check'!D123,#REF!,15,0),0)</f>
        <v>0</v>
      </c>
      <c r="AQ123" s="14">
        <f t="shared" si="51"/>
        <v>0</v>
      </c>
      <c r="AR123" s="14">
        <v>0</v>
      </c>
      <c r="AS123" s="14">
        <f t="shared" si="52"/>
        <v>0</v>
      </c>
      <c r="AT123" s="14">
        <f t="shared" si="53"/>
        <v>0</v>
      </c>
      <c r="AU123" s="14">
        <v>0</v>
      </c>
      <c r="AV123" s="14"/>
      <c r="AW123" s="14">
        <v>0</v>
      </c>
      <c r="AX123" s="14"/>
      <c r="AY123" s="14">
        <v>0</v>
      </c>
      <c r="AZ123" s="14"/>
      <c r="BA123" s="14">
        <v>1157.9000000000001</v>
      </c>
      <c r="BB123" s="14">
        <f>IFERROR(VLOOKUP(D123,#REF!,2,0),0)</f>
        <v>0</v>
      </c>
      <c r="BC123" s="14" t="e">
        <f>MAX(VLOOKUP(D123,#REF!,13,0)-VLOOKUP(D123,#REF!,14,0),0)</f>
        <v>#REF!</v>
      </c>
      <c r="BD123" s="14">
        <f>IFERROR(VLOOKUP(D123,#REF!,3,0),0)</f>
        <v>0</v>
      </c>
      <c r="BE123" s="14" t="e">
        <f>MAX(VLOOKUP(D123,#REF!,22,0)-VLOOKUP(D123,#REF!,23,0),0)</f>
        <v>#REF!</v>
      </c>
      <c r="BF123" s="14" t="e">
        <f t="shared" si="54"/>
        <v>#REF!</v>
      </c>
      <c r="BG123" s="14" t="e">
        <f t="shared" si="55"/>
        <v>#REF!</v>
      </c>
      <c r="BH123" s="14">
        <v>0</v>
      </c>
      <c r="BI123" s="14"/>
      <c r="BJ123" s="14"/>
      <c r="BK123" s="14">
        <v>917</v>
      </c>
      <c r="BL123" s="14">
        <f t="shared" si="56"/>
        <v>917</v>
      </c>
      <c r="BM123" s="14">
        <f t="shared" si="57"/>
        <v>0</v>
      </c>
      <c r="BN123" s="14">
        <v>0</v>
      </c>
      <c r="BO123" s="14"/>
      <c r="BP123" s="14"/>
      <c r="BQ123" s="14"/>
      <c r="BR123" s="14">
        <v>0</v>
      </c>
      <c r="BS123" s="14"/>
      <c r="BT123" s="14">
        <v>0</v>
      </c>
      <c r="BU123" s="14"/>
      <c r="BV123" s="14">
        <v>0</v>
      </c>
      <c r="BW123" s="14"/>
      <c r="BX123" s="14">
        <v>52020.9</v>
      </c>
      <c r="BY123" s="14">
        <f t="shared" si="58"/>
        <v>52020.9</v>
      </c>
      <c r="BZ123" s="14">
        <f t="shared" si="59"/>
        <v>0</v>
      </c>
      <c r="CA123" s="14">
        <v>51103.9</v>
      </c>
      <c r="CB123" s="14">
        <f t="shared" si="60"/>
        <v>51103.9</v>
      </c>
      <c r="CC123" s="14">
        <f t="shared" si="61"/>
        <v>0</v>
      </c>
      <c r="CD123" s="14">
        <v>0</v>
      </c>
      <c r="CE123" s="14"/>
      <c r="CF123" s="14"/>
      <c r="CG123" s="14">
        <v>0</v>
      </c>
      <c r="CH123" s="14"/>
      <c r="CI123" s="14">
        <v>1642.0601999999999</v>
      </c>
      <c r="CJ123" s="14">
        <v>0.05</v>
      </c>
      <c r="CK123" s="14"/>
      <c r="CL123" s="14">
        <v>0</v>
      </c>
      <c r="CM123" s="14">
        <v>0.1</v>
      </c>
      <c r="CN123" s="14">
        <v>0</v>
      </c>
      <c r="CO123" s="14">
        <v>0</v>
      </c>
      <c r="CP123" s="14">
        <v>0</v>
      </c>
      <c r="CQ123" s="14"/>
      <c r="CR123" s="14">
        <v>0</v>
      </c>
      <c r="CS123" s="14"/>
      <c r="CT123" s="14">
        <v>1500</v>
      </c>
      <c r="CU123" s="14">
        <f t="shared" si="78"/>
        <v>1500</v>
      </c>
      <c r="CV123" s="14">
        <f t="shared" si="79"/>
        <v>0</v>
      </c>
      <c r="CW123" s="14">
        <v>2555.1999999999998</v>
      </c>
      <c r="CX123" s="14">
        <f t="shared" si="62"/>
        <v>2555.1999999999998</v>
      </c>
      <c r="CY123" s="14">
        <f t="shared" si="63"/>
        <v>0</v>
      </c>
      <c r="CZ123" s="14">
        <v>1500</v>
      </c>
      <c r="DA123" s="14">
        <f t="shared" si="64"/>
        <v>1500</v>
      </c>
      <c r="DB123" s="14">
        <f t="shared" si="65"/>
        <v>0</v>
      </c>
      <c r="DC123" s="14">
        <v>3610.39</v>
      </c>
      <c r="DD123" s="14">
        <f t="shared" si="66"/>
        <v>3610.39</v>
      </c>
      <c r="DE123" s="14">
        <f t="shared" si="67"/>
        <v>0</v>
      </c>
      <c r="DF123" s="14">
        <v>47965.7</v>
      </c>
      <c r="DG123" s="14">
        <f t="shared" si="68"/>
        <v>47965.700000000004</v>
      </c>
      <c r="DH123" s="14">
        <f t="shared" si="69"/>
        <v>0</v>
      </c>
      <c r="DI123" s="14">
        <v>4475.8500000000004</v>
      </c>
      <c r="DJ123" s="14">
        <f>IFERROR(VLOOKUP(D123,#REF!,2,0),0)</f>
        <v>0</v>
      </c>
      <c r="DK123" s="14">
        <f t="shared" si="70"/>
        <v>-4475.8500000000004</v>
      </c>
      <c r="DL123" s="14">
        <v>52020.9</v>
      </c>
      <c r="DM123" s="14">
        <v>729079.39</v>
      </c>
      <c r="DN123" s="14">
        <v>4162.17</v>
      </c>
      <c r="DO123" s="14">
        <v>1157.9000000000001</v>
      </c>
      <c r="DP123" s="14">
        <v>0</v>
      </c>
      <c r="DQ123" s="14">
        <v>51103.9</v>
      </c>
      <c r="DR123" s="14">
        <v>28</v>
      </c>
      <c r="DS123" s="14">
        <v>0</v>
      </c>
      <c r="DT123" s="5" t="s">
        <v>206</v>
      </c>
      <c r="DU123" s="5" t="s">
        <v>195</v>
      </c>
      <c r="DV123" s="5" t="s">
        <v>196</v>
      </c>
      <c r="DW123" s="5" t="s">
        <v>197</v>
      </c>
    </row>
    <row r="124" spans="1:127" ht="16.5">
      <c r="A124" s="5" t="s">
        <v>184</v>
      </c>
      <c r="B124" s="5" t="s">
        <v>147</v>
      </c>
      <c r="C124" s="5" t="s">
        <v>148</v>
      </c>
      <c r="D124" s="5" t="s">
        <v>856</v>
      </c>
      <c r="E124" s="5" t="e">
        <f>VLOOKUP(D124,#REF!,1,0)</f>
        <v>#REF!</v>
      </c>
      <c r="F124" s="5" t="s">
        <v>434</v>
      </c>
      <c r="G124" s="5" t="s">
        <v>857</v>
      </c>
      <c r="H124" s="5" t="str">
        <f t="shared" si="45"/>
        <v>Chui Mei Lau</v>
      </c>
      <c r="I124" s="5" t="e">
        <f>VLOOKUP(D124,#REF!,9,0)</f>
        <v>#REF!</v>
      </c>
      <c r="J124" s="5" t="e">
        <f t="shared" si="46"/>
        <v>#REF!</v>
      </c>
      <c r="K124" s="5" t="s">
        <v>858</v>
      </c>
      <c r="L124" s="5" t="s">
        <v>151</v>
      </c>
      <c r="M124" s="5" t="s">
        <v>545</v>
      </c>
      <c r="N124" s="10" t="e">
        <f>VLOOKUP(D124,#REF!,80,0)</f>
        <v>#REF!</v>
      </c>
      <c r="O124" s="11" t="e">
        <f t="shared" si="47"/>
        <v>#REF!</v>
      </c>
      <c r="P124" s="5" t="s">
        <v>218</v>
      </c>
      <c r="Q124" s="5" t="e">
        <f>VLOOKUP(D124,#REF!,50,0)</f>
        <v>#REF!</v>
      </c>
      <c r="R124" s="5" t="e">
        <f t="shared" si="48"/>
        <v>#REF!</v>
      </c>
      <c r="S124" s="5" t="s">
        <v>722</v>
      </c>
      <c r="T124" s="5" t="e">
        <f>VLOOKUP(D124,#REF!,21,0)</f>
        <v>#REF!</v>
      </c>
      <c r="U124" s="5" t="e">
        <f t="shared" si="49"/>
        <v>#REF!</v>
      </c>
      <c r="V124" s="5" t="s">
        <v>220</v>
      </c>
      <c r="W124" s="5" t="e">
        <f>VLOOKUP(D124,#REF!,51,0)</f>
        <v>#REF!</v>
      </c>
      <c r="X124" s="5" t="e">
        <f t="shared" si="50"/>
        <v>#REF!</v>
      </c>
      <c r="Y124" s="5" t="s">
        <v>192</v>
      </c>
      <c r="Z124" s="5" t="s">
        <v>193</v>
      </c>
      <c r="AA124" s="14">
        <v>1.91</v>
      </c>
      <c r="AB124" s="14">
        <v>71131</v>
      </c>
      <c r="AC124" s="14" t="e">
        <f>ROUND(VLOOKUP(D124,#REF!,59,0),0)</f>
        <v>#REF!</v>
      </c>
      <c r="AD124" s="14" t="e">
        <f t="shared" si="73"/>
        <v>#REF!</v>
      </c>
      <c r="AE124" s="14">
        <v>71131</v>
      </c>
      <c r="AF124" s="14">
        <f t="shared" si="74"/>
        <v>71131</v>
      </c>
      <c r="AG124" s="14">
        <f t="shared" si="75"/>
        <v>0</v>
      </c>
      <c r="AH124" s="14">
        <v>0</v>
      </c>
      <c r="AI124" s="14"/>
      <c r="AJ124" s="14"/>
      <c r="AK124" s="14">
        <v>0</v>
      </c>
      <c r="AL124" s="14"/>
      <c r="AM124" s="14"/>
      <c r="AN124" s="14">
        <v>0</v>
      </c>
      <c r="AO124" s="14">
        <v>0</v>
      </c>
      <c r="AP124" s="14">
        <f>IFERROR(VLOOKUP('Feb for check'!D124,#REF!,15,0),0)</f>
        <v>0</v>
      </c>
      <c r="AQ124" s="14">
        <f t="shared" si="51"/>
        <v>0</v>
      </c>
      <c r="AR124" s="14">
        <v>0</v>
      </c>
      <c r="AS124" s="14">
        <f t="shared" si="52"/>
        <v>0</v>
      </c>
      <c r="AT124" s="14">
        <f t="shared" si="53"/>
        <v>0</v>
      </c>
      <c r="AU124" s="14">
        <v>0</v>
      </c>
      <c r="AV124" s="14"/>
      <c r="AW124" s="14">
        <v>0</v>
      </c>
      <c r="AX124" s="14"/>
      <c r="AY124" s="14">
        <v>0</v>
      </c>
      <c r="AZ124" s="14"/>
      <c r="BA124" s="14">
        <v>0</v>
      </c>
      <c r="BB124" s="14">
        <f>IFERROR(VLOOKUP(D124,#REF!,2,0),0)</f>
        <v>0</v>
      </c>
      <c r="BC124" s="14" t="e">
        <f>MAX(VLOOKUP(D124,#REF!,13,0)-VLOOKUP(D124,#REF!,14,0),0)</f>
        <v>#REF!</v>
      </c>
      <c r="BD124" s="14">
        <f>IFERROR(VLOOKUP(D124,#REF!,3,0),0)</f>
        <v>0</v>
      </c>
      <c r="BE124" s="14" t="e">
        <f>MAX(VLOOKUP(D124,#REF!,22,0)-VLOOKUP(D124,#REF!,23,0),0)</f>
        <v>#REF!</v>
      </c>
      <c r="BF124" s="14" t="e">
        <f t="shared" si="54"/>
        <v>#REF!</v>
      </c>
      <c r="BG124" s="14" t="e">
        <f t="shared" si="55"/>
        <v>#REF!</v>
      </c>
      <c r="BH124" s="14">
        <v>0</v>
      </c>
      <c r="BI124" s="14"/>
      <c r="BJ124" s="14"/>
      <c r="BK124" s="14">
        <v>0</v>
      </c>
      <c r="BL124" s="14">
        <f t="shared" si="56"/>
        <v>0</v>
      </c>
      <c r="BM124" s="14">
        <f t="shared" si="57"/>
        <v>0</v>
      </c>
      <c r="BN124" s="14">
        <v>0</v>
      </c>
      <c r="BO124" s="14"/>
      <c r="BP124" s="14"/>
      <c r="BQ124" s="14"/>
      <c r="BR124" s="14">
        <v>0</v>
      </c>
      <c r="BS124" s="14"/>
      <c r="BT124" s="14">
        <v>0</v>
      </c>
      <c r="BU124" s="14"/>
      <c r="BV124" s="14">
        <v>0</v>
      </c>
      <c r="BW124" s="14"/>
      <c r="BX124" s="14">
        <v>71131</v>
      </c>
      <c r="BY124" s="14">
        <f t="shared" si="58"/>
        <v>71131</v>
      </c>
      <c r="BZ124" s="14">
        <f t="shared" si="59"/>
        <v>0</v>
      </c>
      <c r="CA124" s="14">
        <v>71131</v>
      </c>
      <c r="CB124" s="14">
        <f t="shared" si="60"/>
        <v>71131</v>
      </c>
      <c r="CC124" s="14">
        <f t="shared" si="61"/>
        <v>0</v>
      </c>
      <c r="CD124" s="14">
        <v>0</v>
      </c>
      <c r="CE124" s="14"/>
      <c r="CF124" s="14"/>
      <c r="CG124" s="14">
        <v>0</v>
      </c>
      <c r="CH124" s="14"/>
      <c r="CI124" s="14">
        <v>2338.5533999999998</v>
      </c>
      <c r="CJ124" s="14">
        <v>0</v>
      </c>
      <c r="CK124" s="14"/>
      <c r="CL124" s="14">
        <v>0</v>
      </c>
      <c r="CM124" s="14">
        <v>7.4999999999999997E-2</v>
      </c>
      <c r="CN124" s="14">
        <v>0</v>
      </c>
      <c r="CO124" s="14">
        <v>0</v>
      </c>
      <c r="CP124" s="14">
        <v>0</v>
      </c>
      <c r="CQ124" s="14"/>
      <c r="CR124" s="14">
        <v>0</v>
      </c>
      <c r="CS124" s="14"/>
      <c r="CT124" s="14">
        <v>1500</v>
      </c>
      <c r="CU124" s="14">
        <f t="shared" si="78"/>
        <v>1500</v>
      </c>
      <c r="CV124" s="14">
        <f t="shared" si="79"/>
        <v>0</v>
      </c>
      <c r="CW124" s="14">
        <v>0</v>
      </c>
      <c r="CX124" s="14">
        <f t="shared" si="62"/>
        <v>0</v>
      </c>
      <c r="CY124" s="14">
        <f t="shared" si="63"/>
        <v>0</v>
      </c>
      <c r="CZ124" s="14">
        <v>1500</v>
      </c>
      <c r="DA124" s="14">
        <f t="shared" si="64"/>
        <v>1500</v>
      </c>
      <c r="DB124" s="14">
        <f t="shared" si="65"/>
        <v>0</v>
      </c>
      <c r="DC124" s="14">
        <v>3834.83</v>
      </c>
      <c r="DD124" s="14">
        <f t="shared" si="66"/>
        <v>3834.83</v>
      </c>
      <c r="DE124" s="14">
        <f t="shared" si="67"/>
        <v>0</v>
      </c>
      <c r="DF124" s="14">
        <v>69631</v>
      </c>
      <c r="DG124" s="14">
        <f t="shared" si="68"/>
        <v>69631</v>
      </c>
      <c r="DH124" s="14">
        <f t="shared" si="69"/>
        <v>0</v>
      </c>
      <c r="DI124" s="14">
        <v>0</v>
      </c>
      <c r="DJ124" s="14">
        <f>IFERROR(VLOOKUP(D124,#REF!,2,0),0)</f>
        <v>0</v>
      </c>
      <c r="DK124" s="14">
        <f t="shared" si="70"/>
        <v>0</v>
      </c>
      <c r="DL124" s="14">
        <v>71131</v>
      </c>
      <c r="DM124" s="14">
        <v>1105207.95</v>
      </c>
      <c r="DN124" s="14">
        <v>5927.58</v>
      </c>
      <c r="DO124" s="14">
        <v>0</v>
      </c>
      <c r="DP124" s="14">
        <v>0</v>
      </c>
      <c r="DQ124" s="14">
        <v>71131</v>
      </c>
      <c r="DR124" s="14">
        <v>28</v>
      </c>
      <c r="DS124" s="14">
        <v>0</v>
      </c>
      <c r="DT124" s="5" t="s">
        <v>206</v>
      </c>
      <c r="DU124" s="5" t="s">
        <v>195</v>
      </c>
      <c r="DV124" s="5" t="s">
        <v>196</v>
      </c>
      <c r="DW124" s="5" t="s">
        <v>197</v>
      </c>
    </row>
    <row r="125" spans="1:127" ht="16.5">
      <c r="A125" s="5" t="s">
        <v>184</v>
      </c>
      <c r="B125" s="5" t="s">
        <v>147</v>
      </c>
      <c r="C125" s="5" t="s">
        <v>148</v>
      </c>
      <c r="D125" s="5" t="s">
        <v>859</v>
      </c>
      <c r="E125" s="5" t="e">
        <f>VLOOKUP(D125,#REF!,1,0)</f>
        <v>#REF!</v>
      </c>
      <c r="F125" s="5" t="s">
        <v>214</v>
      </c>
      <c r="G125" s="5" t="s">
        <v>860</v>
      </c>
      <c r="H125" s="5" t="str">
        <f t="shared" si="45"/>
        <v>Kit Wa Mak</v>
      </c>
      <c r="I125" s="5" t="e">
        <f>VLOOKUP(D125,#REF!,9,0)</f>
        <v>#REF!</v>
      </c>
      <c r="J125" s="5" t="e">
        <f t="shared" si="46"/>
        <v>#REF!</v>
      </c>
      <c r="K125" s="5" t="s">
        <v>568</v>
      </c>
      <c r="L125" s="5" t="s">
        <v>151</v>
      </c>
      <c r="M125" s="5" t="s">
        <v>861</v>
      </c>
      <c r="N125" s="10" t="e">
        <f>VLOOKUP(D125,#REF!,80,0)</f>
        <v>#REF!</v>
      </c>
      <c r="O125" s="11" t="e">
        <f t="shared" si="47"/>
        <v>#REF!</v>
      </c>
      <c r="P125" s="5" t="s">
        <v>253</v>
      </c>
      <c r="Q125" s="5" t="e">
        <f>VLOOKUP(D125,#REF!,50,0)</f>
        <v>#REF!</v>
      </c>
      <c r="R125" s="5" t="e">
        <f t="shared" si="48"/>
        <v>#REF!</v>
      </c>
      <c r="S125" s="5" t="s">
        <v>862</v>
      </c>
      <c r="T125" s="5" t="e">
        <f>VLOOKUP(D125,#REF!,21,0)</f>
        <v>#REF!</v>
      </c>
      <c r="U125" s="5" t="e">
        <f t="shared" si="49"/>
        <v>#REF!</v>
      </c>
      <c r="V125" s="5" t="s">
        <v>255</v>
      </c>
      <c r="W125" s="5" t="e">
        <f>VLOOKUP(D125,#REF!,51,0)</f>
        <v>#REF!</v>
      </c>
      <c r="X125" s="5" t="e">
        <f t="shared" si="50"/>
        <v>#REF!</v>
      </c>
      <c r="Y125" s="5" t="s">
        <v>192</v>
      </c>
      <c r="Z125" s="5" t="s">
        <v>193</v>
      </c>
      <c r="AA125" s="14">
        <v>6.8</v>
      </c>
      <c r="AB125" s="14">
        <v>38635</v>
      </c>
      <c r="AC125" s="14" t="e">
        <f>ROUND(VLOOKUP(D125,#REF!,59,0),0)</f>
        <v>#REF!</v>
      </c>
      <c r="AD125" s="14" t="e">
        <f t="shared" si="73"/>
        <v>#REF!</v>
      </c>
      <c r="AE125" s="14">
        <v>38635</v>
      </c>
      <c r="AF125" s="14">
        <f t="shared" si="74"/>
        <v>38635</v>
      </c>
      <c r="AG125" s="14">
        <f t="shared" si="75"/>
        <v>0</v>
      </c>
      <c r="AH125" s="14">
        <v>0</v>
      </c>
      <c r="AI125" s="14"/>
      <c r="AJ125" s="14"/>
      <c r="AK125" s="14">
        <v>0</v>
      </c>
      <c r="AL125" s="14"/>
      <c r="AM125" s="14"/>
      <c r="AN125" s="14">
        <v>0</v>
      </c>
      <c r="AO125" s="14">
        <v>0</v>
      </c>
      <c r="AP125" s="14">
        <f>IFERROR(VLOOKUP('Feb for check'!D125,#REF!,15,0),0)</f>
        <v>0</v>
      </c>
      <c r="AQ125" s="14">
        <f t="shared" si="51"/>
        <v>0</v>
      </c>
      <c r="AR125" s="14">
        <v>0</v>
      </c>
      <c r="AS125" s="14">
        <f t="shared" si="52"/>
        <v>0</v>
      </c>
      <c r="AT125" s="14">
        <f t="shared" si="53"/>
        <v>0</v>
      </c>
      <c r="AU125" s="14">
        <v>0</v>
      </c>
      <c r="AV125" s="14"/>
      <c r="AW125" s="14">
        <v>0</v>
      </c>
      <c r="AX125" s="14"/>
      <c r="AY125" s="14">
        <v>0</v>
      </c>
      <c r="AZ125" s="14"/>
      <c r="BA125" s="14">
        <v>0</v>
      </c>
      <c r="BB125" s="14">
        <f>IFERROR(VLOOKUP(D125,#REF!,2,0),0)</f>
        <v>0</v>
      </c>
      <c r="BC125" s="14" t="e">
        <f>MAX(VLOOKUP(D125,#REF!,13,0)-VLOOKUP(D125,#REF!,14,0),0)</f>
        <v>#REF!</v>
      </c>
      <c r="BD125" s="14">
        <f>IFERROR(VLOOKUP(D125,#REF!,3,0),0)</f>
        <v>0</v>
      </c>
      <c r="BE125" s="14" t="e">
        <f>MAX(VLOOKUP(D125,#REF!,22,0)-VLOOKUP(D125,#REF!,23,0),0)</f>
        <v>#REF!</v>
      </c>
      <c r="BF125" s="14" t="e">
        <f t="shared" si="54"/>
        <v>#REF!</v>
      </c>
      <c r="BG125" s="14" t="e">
        <f t="shared" si="55"/>
        <v>#REF!</v>
      </c>
      <c r="BH125" s="14">
        <v>0</v>
      </c>
      <c r="BI125" s="14"/>
      <c r="BJ125" s="14"/>
      <c r="BK125" s="14">
        <v>0</v>
      </c>
      <c r="BL125" s="14">
        <f t="shared" si="56"/>
        <v>0</v>
      </c>
      <c r="BM125" s="14">
        <f t="shared" si="57"/>
        <v>0</v>
      </c>
      <c r="BN125" s="14">
        <v>0</v>
      </c>
      <c r="BO125" s="14"/>
      <c r="BP125" s="14"/>
      <c r="BQ125" s="14"/>
      <c r="BR125" s="14">
        <v>0</v>
      </c>
      <c r="BS125" s="14"/>
      <c r="BT125" s="14">
        <v>0</v>
      </c>
      <c r="BU125" s="14"/>
      <c r="BV125" s="14">
        <v>0</v>
      </c>
      <c r="BW125" s="14"/>
      <c r="BX125" s="14">
        <v>38635</v>
      </c>
      <c r="BY125" s="14">
        <f t="shared" si="58"/>
        <v>38635</v>
      </c>
      <c r="BZ125" s="14">
        <f t="shared" si="59"/>
        <v>0</v>
      </c>
      <c r="CA125" s="14">
        <v>38635</v>
      </c>
      <c r="CB125" s="14">
        <f t="shared" si="60"/>
        <v>38635</v>
      </c>
      <c r="CC125" s="14">
        <f t="shared" si="61"/>
        <v>0</v>
      </c>
      <c r="CD125" s="14">
        <v>0</v>
      </c>
      <c r="CE125" s="14"/>
      <c r="CF125" s="14"/>
      <c r="CG125" s="14">
        <v>0</v>
      </c>
      <c r="CH125" s="14"/>
      <c r="CI125" s="14">
        <v>1270.1917000000001</v>
      </c>
      <c r="CJ125" s="14">
        <v>0</v>
      </c>
      <c r="CK125" s="14"/>
      <c r="CL125" s="14">
        <v>0</v>
      </c>
      <c r="CM125" s="14">
        <v>7.4999999999999997E-2</v>
      </c>
      <c r="CN125" s="14">
        <v>0</v>
      </c>
      <c r="CO125" s="14">
        <v>0</v>
      </c>
      <c r="CP125" s="14">
        <v>0</v>
      </c>
      <c r="CQ125" s="14"/>
      <c r="CR125" s="14">
        <v>0</v>
      </c>
      <c r="CS125" s="14"/>
      <c r="CT125" s="14">
        <v>1500</v>
      </c>
      <c r="CU125" s="14">
        <f t="shared" si="78"/>
        <v>1500</v>
      </c>
      <c r="CV125" s="14">
        <f t="shared" si="79"/>
        <v>0</v>
      </c>
      <c r="CW125" s="14">
        <v>0</v>
      </c>
      <c r="CX125" s="14">
        <f t="shared" si="62"/>
        <v>0</v>
      </c>
      <c r="CY125" s="14">
        <f t="shared" si="63"/>
        <v>0</v>
      </c>
      <c r="CZ125" s="14">
        <v>1500</v>
      </c>
      <c r="DA125" s="14">
        <f t="shared" si="64"/>
        <v>1500</v>
      </c>
      <c r="DB125" s="14">
        <f t="shared" si="65"/>
        <v>0</v>
      </c>
      <c r="DC125" s="14">
        <v>1397.63</v>
      </c>
      <c r="DD125" s="14">
        <f t="shared" si="66"/>
        <v>1397.63</v>
      </c>
      <c r="DE125" s="14">
        <f t="shared" si="67"/>
        <v>0</v>
      </c>
      <c r="DF125" s="14">
        <v>37135</v>
      </c>
      <c r="DG125" s="14">
        <f t="shared" si="68"/>
        <v>37135</v>
      </c>
      <c r="DH125" s="14">
        <f t="shared" si="69"/>
        <v>0</v>
      </c>
      <c r="DI125" s="14">
        <v>0</v>
      </c>
      <c r="DJ125" s="14">
        <f>IFERROR(VLOOKUP(D125,#REF!,2,0),0)</f>
        <v>0</v>
      </c>
      <c r="DK125" s="14">
        <f t="shared" si="70"/>
        <v>0</v>
      </c>
      <c r="DL125" s="14">
        <v>38635</v>
      </c>
      <c r="DM125" s="14">
        <v>514490.62</v>
      </c>
      <c r="DN125" s="14">
        <v>3219.58</v>
      </c>
      <c r="DO125" s="14">
        <v>0</v>
      </c>
      <c r="DP125" s="14">
        <v>0</v>
      </c>
      <c r="DQ125" s="14">
        <v>38635</v>
      </c>
      <c r="DR125" s="14">
        <v>28</v>
      </c>
      <c r="DS125" s="14">
        <v>0</v>
      </c>
      <c r="DT125" s="5" t="s">
        <v>206</v>
      </c>
      <c r="DU125" s="5" t="s">
        <v>195</v>
      </c>
      <c r="DV125" s="5" t="s">
        <v>196</v>
      </c>
      <c r="DW125" s="5" t="s">
        <v>197</v>
      </c>
    </row>
    <row r="126" spans="1:127" ht="16.5">
      <c r="A126" s="5" t="s">
        <v>184</v>
      </c>
      <c r="B126" s="5" t="s">
        <v>147</v>
      </c>
      <c r="C126" s="5" t="s">
        <v>148</v>
      </c>
      <c r="D126" s="5" t="s">
        <v>863</v>
      </c>
      <c r="E126" s="5" t="e">
        <f>VLOOKUP(D126,#REF!,1,0)</f>
        <v>#REF!</v>
      </c>
      <c r="F126" s="5" t="s">
        <v>864</v>
      </c>
      <c r="G126" s="5" t="s">
        <v>865</v>
      </c>
      <c r="H126" s="5" t="str">
        <f t="shared" si="45"/>
        <v>Sin Ying Au</v>
      </c>
      <c r="I126" s="5" t="e">
        <f>VLOOKUP(D126,#REF!,9,0)</f>
        <v>#REF!</v>
      </c>
      <c r="J126" s="5" t="e">
        <f t="shared" si="46"/>
        <v>#REF!</v>
      </c>
      <c r="K126" s="5" t="s">
        <v>866</v>
      </c>
      <c r="L126" s="5" t="s">
        <v>151</v>
      </c>
      <c r="M126" s="5" t="s">
        <v>867</v>
      </c>
      <c r="N126" s="10" t="e">
        <f>VLOOKUP(D126,#REF!,80,0)</f>
        <v>#REF!</v>
      </c>
      <c r="O126" s="11" t="e">
        <f t="shared" si="47"/>
        <v>#REF!</v>
      </c>
      <c r="P126" s="5" t="s">
        <v>338</v>
      </c>
      <c r="Q126" s="5" t="e">
        <f>VLOOKUP(D126,#REF!,50,0)</f>
        <v>#REF!</v>
      </c>
      <c r="R126" s="5" t="e">
        <f t="shared" si="48"/>
        <v>#REF!</v>
      </c>
      <c r="S126" s="5" t="s">
        <v>496</v>
      </c>
      <c r="T126" s="5" t="e">
        <f>VLOOKUP(D126,#REF!,21,0)</f>
        <v>#REF!</v>
      </c>
      <c r="U126" s="5" t="e">
        <f t="shared" si="49"/>
        <v>#REF!</v>
      </c>
      <c r="V126" s="5" t="s">
        <v>340</v>
      </c>
      <c r="W126" s="5" t="e">
        <f>VLOOKUP(D126,#REF!,51,0)</f>
        <v>#REF!</v>
      </c>
      <c r="X126" s="5" t="e">
        <f t="shared" si="50"/>
        <v>#REF!</v>
      </c>
      <c r="Y126" s="5" t="s">
        <v>192</v>
      </c>
      <c r="Z126" s="5" t="s">
        <v>193</v>
      </c>
      <c r="AA126" s="14">
        <v>1.88</v>
      </c>
      <c r="AB126" s="14">
        <v>28350</v>
      </c>
      <c r="AC126" s="14" t="e">
        <f>ROUND(VLOOKUP(D126,#REF!,59,0),0)</f>
        <v>#REF!</v>
      </c>
      <c r="AD126" s="14" t="e">
        <f t="shared" si="73"/>
        <v>#REF!</v>
      </c>
      <c r="AE126" s="14">
        <v>28350</v>
      </c>
      <c r="AF126" s="14">
        <f t="shared" si="74"/>
        <v>28350</v>
      </c>
      <c r="AG126" s="14">
        <f t="shared" si="75"/>
        <v>0</v>
      </c>
      <c r="AH126" s="14">
        <v>0</v>
      </c>
      <c r="AI126" s="14"/>
      <c r="AJ126" s="14"/>
      <c r="AK126" s="14">
        <v>0</v>
      </c>
      <c r="AL126" s="14"/>
      <c r="AM126" s="14"/>
      <c r="AN126" s="14">
        <v>0</v>
      </c>
      <c r="AO126" s="14">
        <v>2500</v>
      </c>
      <c r="AP126" s="14">
        <f>IFERROR(VLOOKUP('Feb for check'!D126,#REF!,15,0),0)</f>
        <v>0</v>
      </c>
      <c r="AQ126" s="14">
        <f t="shared" si="51"/>
        <v>-2500</v>
      </c>
      <c r="AR126" s="14">
        <v>2500</v>
      </c>
      <c r="AS126" s="14">
        <f t="shared" si="52"/>
        <v>2500</v>
      </c>
      <c r="AT126" s="14">
        <f t="shared" si="53"/>
        <v>0</v>
      </c>
      <c r="AU126" s="14">
        <v>0</v>
      </c>
      <c r="AV126" s="14"/>
      <c r="AW126" s="14">
        <v>0</v>
      </c>
      <c r="AX126" s="14"/>
      <c r="AY126" s="14">
        <v>0</v>
      </c>
      <c r="AZ126" s="14"/>
      <c r="BA126" s="14">
        <v>848.16</v>
      </c>
      <c r="BB126" s="14">
        <f>IFERROR(VLOOKUP(D126,#REF!,2,0),0)</f>
        <v>0</v>
      </c>
      <c r="BC126" s="14" t="e">
        <f>MAX(VLOOKUP(D126,#REF!,13,0)-VLOOKUP(D126,#REF!,14,0),0)</f>
        <v>#REF!</v>
      </c>
      <c r="BD126" s="14">
        <f>IFERROR(VLOOKUP(D126,#REF!,3,0),0)</f>
        <v>0</v>
      </c>
      <c r="BE126" s="14" t="e">
        <f>MAX(VLOOKUP(D126,#REF!,22,0)-VLOOKUP(D126,#REF!,23,0),0)</f>
        <v>#REF!</v>
      </c>
      <c r="BF126" s="14" t="e">
        <f t="shared" si="54"/>
        <v>#REF!</v>
      </c>
      <c r="BG126" s="14" t="e">
        <f t="shared" si="55"/>
        <v>#REF!</v>
      </c>
      <c r="BH126" s="14">
        <v>0</v>
      </c>
      <c r="BI126" s="14"/>
      <c r="BJ126" s="14"/>
      <c r="BK126" s="14">
        <v>917</v>
      </c>
      <c r="BL126" s="14">
        <f t="shared" si="56"/>
        <v>917</v>
      </c>
      <c r="BM126" s="14">
        <f t="shared" si="57"/>
        <v>0</v>
      </c>
      <c r="BN126" s="14">
        <v>0</v>
      </c>
      <c r="BO126" s="14"/>
      <c r="BP126" s="14"/>
      <c r="BQ126" s="14"/>
      <c r="BR126" s="14">
        <v>0</v>
      </c>
      <c r="BS126" s="14"/>
      <c r="BT126" s="14">
        <v>0</v>
      </c>
      <c r="BU126" s="14"/>
      <c r="BV126" s="14">
        <v>0</v>
      </c>
      <c r="BW126" s="14"/>
      <c r="BX126" s="14">
        <v>32615.16</v>
      </c>
      <c r="BY126" s="14">
        <f t="shared" si="58"/>
        <v>32615.16</v>
      </c>
      <c r="BZ126" s="14">
        <f t="shared" si="59"/>
        <v>0</v>
      </c>
      <c r="CA126" s="14">
        <v>29198.16</v>
      </c>
      <c r="CB126" s="14">
        <f t="shared" si="60"/>
        <v>29198.16</v>
      </c>
      <c r="CC126" s="14">
        <f t="shared" si="61"/>
        <v>0</v>
      </c>
      <c r="CD126" s="14">
        <v>0</v>
      </c>
      <c r="CE126" s="14"/>
      <c r="CF126" s="14"/>
      <c r="CG126" s="14">
        <v>0</v>
      </c>
      <c r="CH126" s="14"/>
      <c r="CI126" s="14">
        <v>1014.2465</v>
      </c>
      <c r="CJ126" s="14">
        <v>0</v>
      </c>
      <c r="CK126" s="14"/>
      <c r="CL126" s="14">
        <v>0</v>
      </c>
      <c r="CM126" s="14">
        <v>7.4999999999999997E-2</v>
      </c>
      <c r="CN126" s="14">
        <v>0</v>
      </c>
      <c r="CO126" s="14">
        <v>0</v>
      </c>
      <c r="CP126" s="14">
        <v>0</v>
      </c>
      <c r="CQ126" s="14"/>
      <c r="CR126" s="14">
        <v>0</v>
      </c>
      <c r="CS126" s="14"/>
      <c r="CT126" s="14">
        <v>1500</v>
      </c>
      <c r="CU126" s="14">
        <f t="shared" si="78"/>
        <v>1500</v>
      </c>
      <c r="CV126" s="14">
        <f t="shared" si="79"/>
        <v>0</v>
      </c>
      <c r="CW126" s="14">
        <v>0</v>
      </c>
      <c r="CX126" s="14">
        <f t="shared" si="62"/>
        <v>0</v>
      </c>
      <c r="CY126" s="14">
        <f t="shared" si="63"/>
        <v>0</v>
      </c>
      <c r="CZ126" s="14">
        <v>1500</v>
      </c>
      <c r="DA126" s="14">
        <f t="shared" si="64"/>
        <v>1500</v>
      </c>
      <c r="DB126" s="14">
        <f t="shared" si="65"/>
        <v>0</v>
      </c>
      <c r="DC126" s="14">
        <v>689.86</v>
      </c>
      <c r="DD126" s="14">
        <f t="shared" si="66"/>
        <v>689.86</v>
      </c>
      <c r="DE126" s="14">
        <f t="shared" si="67"/>
        <v>0</v>
      </c>
      <c r="DF126" s="14">
        <v>31115.16</v>
      </c>
      <c r="DG126" s="14">
        <f t="shared" si="68"/>
        <v>31115.16</v>
      </c>
      <c r="DH126" s="14">
        <f t="shared" si="69"/>
        <v>0</v>
      </c>
      <c r="DI126" s="14">
        <v>4475.8500000000004</v>
      </c>
      <c r="DJ126" s="14">
        <f>IFERROR(VLOOKUP(D126,#REF!,2,0),0)</f>
        <v>0</v>
      </c>
      <c r="DK126" s="14">
        <f t="shared" si="70"/>
        <v>-4475.8500000000004</v>
      </c>
      <c r="DL126" s="14">
        <v>30115.16</v>
      </c>
      <c r="DM126" s="14">
        <v>553434.99</v>
      </c>
      <c r="DN126" s="14">
        <v>2362.5</v>
      </c>
      <c r="DO126" s="14">
        <v>848.16</v>
      </c>
      <c r="DP126" s="14">
        <v>0</v>
      </c>
      <c r="DQ126" s="14">
        <v>31698.16</v>
      </c>
      <c r="DR126" s="14">
        <v>28</v>
      </c>
      <c r="DS126" s="14">
        <v>0</v>
      </c>
      <c r="DT126" s="5" t="s">
        <v>206</v>
      </c>
      <c r="DU126" s="5" t="s">
        <v>195</v>
      </c>
      <c r="DV126" s="5" t="s">
        <v>196</v>
      </c>
      <c r="DW126" s="5" t="s">
        <v>197</v>
      </c>
    </row>
    <row r="127" spans="1:127" ht="16.5">
      <c r="A127" s="5" t="s">
        <v>184</v>
      </c>
      <c r="B127" s="5" t="s">
        <v>147</v>
      </c>
      <c r="C127" s="5" t="s">
        <v>148</v>
      </c>
      <c r="D127" s="5" t="s">
        <v>868</v>
      </c>
      <c r="E127" s="5" t="e">
        <f>VLOOKUP(D127,#REF!,1,0)</f>
        <v>#REF!</v>
      </c>
      <c r="F127" s="5" t="s">
        <v>249</v>
      </c>
      <c r="G127" s="5" t="s">
        <v>869</v>
      </c>
      <c r="H127" s="5" t="str">
        <f t="shared" si="45"/>
        <v>Tsz Long Li</v>
      </c>
      <c r="I127" s="5" t="e">
        <f>VLOOKUP(D127,#REF!,9,0)</f>
        <v>#REF!</v>
      </c>
      <c r="J127" s="5" t="e">
        <f t="shared" si="46"/>
        <v>#REF!</v>
      </c>
      <c r="K127" s="5" t="s">
        <v>870</v>
      </c>
      <c r="L127" s="5" t="s">
        <v>151</v>
      </c>
      <c r="M127" s="5" t="s">
        <v>152</v>
      </c>
      <c r="N127" s="10" t="e">
        <f>VLOOKUP(D127,#REF!,80,0)</f>
        <v>#REF!</v>
      </c>
      <c r="O127" s="11" t="e">
        <f t="shared" si="47"/>
        <v>#REF!</v>
      </c>
      <c r="P127" s="5" t="s">
        <v>234</v>
      </c>
      <c r="Q127" s="5" t="e">
        <f>VLOOKUP(D127,#REF!,50,0)</f>
        <v>#REF!</v>
      </c>
      <c r="R127" s="5" t="e">
        <f t="shared" si="48"/>
        <v>#REF!</v>
      </c>
      <c r="S127" s="5" t="s">
        <v>871</v>
      </c>
      <c r="T127" s="5" t="e">
        <f>VLOOKUP(D127,#REF!,21,0)</f>
        <v>#REF!</v>
      </c>
      <c r="U127" s="5" t="e">
        <f t="shared" si="49"/>
        <v>#REF!</v>
      </c>
      <c r="V127" s="5" t="s">
        <v>236</v>
      </c>
      <c r="W127" s="5" t="e">
        <f>VLOOKUP(D127,#REF!,51,0)</f>
        <v>#REF!</v>
      </c>
      <c r="X127" s="5" t="e">
        <f t="shared" si="50"/>
        <v>#REF!</v>
      </c>
      <c r="Y127" s="5" t="s">
        <v>192</v>
      </c>
      <c r="Z127" s="5" t="s">
        <v>193</v>
      </c>
      <c r="AA127" s="14">
        <v>2.89</v>
      </c>
      <c r="AB127" s="14">
        <v>33527</v>
      </c>
      <c r="AC127" s="14" t="e">
        <f>ROUND(VLOOKUP(D127,#REF!,59,0),0)</f>
        <v>#REF!</v>
      </c>
      <c r="AD127" s="14" t="e">
        <f t="shared" si="73"/>
        <v>#REF!</v>
      </c>
      <c r="AE127" s="14">
        <v>33527</v>
      </c>
      <c r="AF127" s="14">
        <f t="shared" si="74"/>
        <v>33527</v>
      </c>
      <c r="AG127" s="14">
        <f t="shared" si="75"/>
        <v>0</v>
      </c>
      <c r="AH127" s="14">
        <v>0</v>
      </c>
      <c r="AI127" s="14"/>
      <c r="AJ127" s="14"/>
      <c r="AK127" s="14">
        <v>0</v>
      </c>
      <c r="AL127" s="14"/>
      <c r="AM127" s="14"/>
      <c r="AN127" s="14">
        <v>0</v>
      </c>
      <c r="AO127" s="14">
        <v>0</v>
      </c>
      <c r="AP127" s="14">
        <f>IFERROR(VLOOKUP('Feb for check'!D127,#REF!,15,0),0)</f>
        <v>0</v>
      </c>
      <c r="AQ127" s="14">
        <f t="shared" si="51"/>
        <v>0</v>
      </c>
      <c r="AR127" s="14">
        <v>0</v>
      </c>
      <c r="AS127" s="14">
        <f t="shared" si="52"/>
        <v>0</v>
      </c>
      <c r="AT127" s="14">
        <f t="shared" si="53"/>
        <v>0</v>
      </c>
      <c r="AU127" s="14">
        <v>0</v>
      </c>
      <c r="AV127" s="14"/>
      <c r="AW127" s="14">
        <v>0</v>
      </c>
      <c r="AX127" s="14"/>
      <c r="AY127" s="14">
        <v>0</v>
      </c>
      <c r="AZ127" s="14"/>
      <c r="BA127" s="14">
        <v>0</v>
      </c>
      <c r="BB127" s="14">
        <f>IFERROR(VLOOKUP(D127,#REF!,2,0),0)</f>
        <v>0</v>
      </c>
      <c r="BC127" s="14" t="e">
        <f>MAX(VLOOKUP(D127,#REF!,13,0)-VLOOKUP(D127,#REF!,14,0),0)</f>
        <v>#REF!</v>
      </c>
      <c r="BD127" s="14">
        <f>IFERROR(VLOOKUP(D127,#REF!,3,0),0)</f>
        <v>0</v>
      </c>
      <c r="BE127" s="14" t="e">
        <f>MAX(VLOOKUP(D127,#REF!,22,0)-VLOOKUP(D127,#REF!,23,0),0)</f>
        <v>#REF!</v>
      </c>
      <c r="BF127" s="14" t="e">
        <f t="shared" si="54"/>
        <v>#REF!</v>
      </c>
      <c r="BG127" s="14" t="e">
        <f t="shared" si="55"/>
        <v>#REF!</v>
      </c>
      <c r="BH127" s="14">
        <v>0</v>
      </c>
      <c r="BI127" s="14"/>
      <c r="BJ127" s="14"/>
      <c r="BK127" s="14">
        <v>0</v>
      </c>
      <c r="BL127" s="14">
        <f t="shared" si="56"/>
        <v>0</v>
      </c>
      <c r="BM127" s="14">
        <f t="shared" si="57"/>
        <v>0</v>
      </c>
      <c r="BN127" s="14">
        <v>0</v>
      </c>
      <c r="BO127" s="14"/>
      <c r="BP127" s="14"/>
      <c r="BQ127" s="14"/>
      <c r="BR127" s="14">
        <v>0</v>
      </c>
      <c r="BS127" s="14"/>
      <c r="BT127" s="14">
        <v>0</v>
      </c>
      <c r="BU127" s="14"/>
      <c r="BV127" s="14">
        <v>0</v>
      </c>
      <c r="BW127" s="14"/>
      <c r="BX127" s="14">
        <v>33527</v>
      </c>
      <c r="BY127" s="14">
        <f t="shared" si="58"/>
        <v>33527</v>
      </c>
      <c r="BZ127" s="14">
        <f t="shared" si="59"/>
        <v>0</v>
      </c>
      <c r="CA127" s="14">
        <v>33527</v>
      </c>
      <c r="CB127" s="14">
        <f t="shared" si="60"/>
        <v>33527</v>
      </c>
      <c r="CC127" s="14">
        <f t="shared" si="61"/>
        <v>0</v>
      </c>
      <c r="CD127" s="14">
        <v>0</v>
      </c>
      <c r="CE127" s="14"/>
      <c r="CF127" s="14"/>
      <c r="CG127" s="14">
        <v>0</v>
      </c>
      <c r="CH127" s="14"/>
      <c r="CI127" s="14">
        <v>1102.2574999999999</v>
      </c>
      <c r="CJ127" s="14">
        <v>0</v>
      </c>
      <c r="CK127" s="14"/>
      <c r="CL127" s="14">
        <v>0</v>
      </c>
      <c r="CM127" s="14">
        <v>7.4999999999999997E-2</v>
      </c>
      <c r="CN127" s="14">
        <v>0</v>
      </c>
      <c r="CO127" s="14">
        <v>0</v>
      </c>
      <c r="CP127" s="14">
        <v>0</v>
      </c>
      <c r="CQ127" s="14"/>
      <c r="CR127" s="14">
        <v>0</v>
      </c>
      <c r="CS127" s="14"/>
      <c r="CT127" s="14">
        <v>1500</v>
      </c>
      <c r="CU127" s="14">
        <f t="shared" si="78"/>
        <v>1500</v>
      </c>
      <c r="CV127" s="14">
        <f t="shared" si="79"/>
        <v>0</v>
      </c>
      <c r="CW127" s="14">
        <v>0</v>
      </c>
      <c r="CX127" s="14">
        <f t="shared" si="62"/>
        <v>0</v>
      </c>
      <c r="CY127" s="14">
        <f t="shared" si="63"/>
        <v>0</v>
      </c>
      <c r="CZ127" s="14">
        <v>1500</v>
      </c>
      <c r="DA127" s="14">
        <f t="shared" si="64"/>
        <v>1500</v>
      </c>
      <c r="DB127" s="14">
        <f t="shared" si="65"/>
        <v>0</v>
      </c>
      <c r="DC127" s="14">
        <v>1014.53</v>
      </c>
      <c r="DD127" s="14">
        <f t="shared" si="66"/>
        <v>1014.53</v>
      </c>
      <c r="DE127" s="14">
        <f t="shared" si="67"/>
        <v>0</v>
      </c>
      <c r="DF127" s="14">
        <v>32027</v>
      </c>
      <c r="DG127" s="14">
        <f t="shared" si="68"/>
        <v>32027</v>
      </c>
      <c r="DH127" s="14">
        <f t="shared" si="69"/>
        <v>0</v>
      </c>
      <c r="DI127" s="14">
        <v>0</v>
      </c>
      <c r="DJ127" s="14">
        <f>IFERROR(VLOOKUP(D127,#REF!,2,0),0)</f>
        <v>0</v>
      </c>
      <c r="DK127" s="14">
        <f t="shared" si="70"/>
        <v>0</v>
      </c>
      <c r="DL127" s="14">
        <v>33527</v>
      </c>
      <c r="DM127" s="14">
        <v>540939.09</v>
      </c>
      <c r="DN127" s="14">
        <v>2793.92</v>
      </c>
      <c r="DO127" s="14">
        <v>0</v>
      </c>
      <c r="DP127" s="14">
        <v>0</v>
      </c>
      <c r="DQ127" s="14">
        <v>33527</v>
      </c>
      <c r="DR127" s="14">
        <v>28</v>
      </c>
      <c r="DS127" s="14">
        <v>0</v>
      </c>
      <c r="DT127" s="5" t="s">
        <v>206</v>
      </c>
      <c r="DU127" s="5" t="s">
        <v>195</v>
      </c>
      <c r="DV127" s="5" t="s">
        <v>196</v>
      </c>
      <c r="DW127" s="5" t="s">
        <v>197</v>
      </c>
    </row>
    <row r="128" spans="1:127" ht="16.5">
      <c r="A128" s="5" t="s">
        <v>184</v>
      </c>
      <c r="B128" s="5" t="s">
        <v>147</v>
      </c>
      <c r="C128" s="5" t="s">
        <v>148</v>
      </c>
      <c r="D128" s="5" t="s">
        <v>872</v>
      </c>
      <c r="E128" s="5" t="e">
        <f>VLOOKUP(D128,#REF!,1,0)</f>
        <v>#REF!</v>
      </c>
      <c r="F128" s="5" t="s">
        <v>873</v>
      </c>
      <c r="G128" s="5" t="s">
        <v>874</v>
      </c>
      <c r="H128" s="5" t="str">
        <f t="shared" si="45"/>
        <v>Anni Varughese</v>
      </c>
      <c r="I128" s="5"/>
      <c r="J128" s="5"/>
      <c r="K128" s="5"/>
      <c r="L128" s="5" t="s">
        <v>151</v>
      </c>
      <c r="M128" s="5" t="s">
        <v>875</v>
      </c>
      <c r="N128" s="10"/>
      <c r="O128" s="11"/>
      <c r="P128" s="5" t="s">
        <v>527</v>
      </c>
      <c r="Q128" s="5"/>
      <c r="R128" s="5"/>
      <c r="S128" s="5" t="s">
        <v>876</v>
      </c>
      <c r="T128" s="5"/>
      <c r="U128" s="5"/>
      <c r="V128" s="5" t="s">
        <v>529</v>
      </c>
      <c r="W128" s="5"/>
      <c r="X128" s="5"/>
      <c r="Y128" s="5" t="s">
        <v>192</v>
      </c>
      <c r="Z128" s="5" t="s">
        <v>877</v>
      </c>
      <c r="AA128" s="14">
        <v>6.57</v>
      </c>
      <c r="AB128" s="14">
        <v>0</v>
      </c>
      <c r="AC128" s="14"/>
      <c r="AD128" s="14"/>
      <c r="AE128" s="14">
        <v>0</v>
      </c>
      <c r="AF128" s="14">
        <f t="shared" si="74"/>
        <v>0</v>
      </c>
      <c r="AG128" s="14">
        <f t="shared" si="75"/>
        <v>0</v>
      </c>
      <c r="AH128" s="14">
        <v>0</v>
      </c>
      <c r="AI128" s="14"/>
      <c r="AJ128" s="14"/>
      <c r="AK128" s="14">
        <v>0</v>
      </c>
      <c r="AL128" s="14"/>
      <c r="AM128" s="14"/>
      <c r="AN128" s="14">
        <v>0</v>
      </c>
      <c r="AO128" s="14">
        <v>0</v>
      </c>
      <c r="AP128" s="14">
        <f>IFERROR(VLOOKUP('Feb for check'!D128,#REF!,15,0),0)</f>
        <v>0</v>
      </c>
      <c r="AQ128" s="14">
        <f t="shared" si="51"/>
        <v>0</v>
      </c>
      <c r="AR128" s="14">
        <v>0</v>
      </c>
      <c r="AS128" s="14">
        <f t="shared" si="52"/>
        <v>0</v>
      </c>
      <c r="AT128" s="14">
        <f t="shared" si="53"/>
        <v>0</v>
      </c>
      <c r="AU128" s="14">
        <v>0</v>
      </c>
      <c r="AV128" s="14"/>
      <c r="AW128" s="14">
        <v>0</v>
      </c>
      <c r="AX128" s="14"/>
      <c r="AY128" s="14">
        <v>0</v>
      </c>
      <c r="AZ128" s="14"/>
      <c r="BA128" s="14">
        <v>0</v>
      </c>
      <c r="BB128" s="14">
        <f>IFERROR(VLOOKUP(D128,#REF!,2,0),0)</f>
        <v>0</v>
      </c>
      <c r="BC128" s="14" t="e">
        <f>MAX(VLOOKUP(D128,#REF!,13,0)-VLOOKUP(D128,#REF!,14,0),0)</f>
        <v>#REF!</v>
      </c>
      <c r="BD128" s="14">
        <f>IFERROR(VLOOKUP(D128,#REF!,3,0),0)</f>
        <v>0</v>
      </c>
      <c r="BE128" s="14" t="e">
        <f>MAX(VLOOKUP(D128,#REF!,22,0)-VLOOKUP(D128,#REF!,23,0),0)</f>
        <v>#REF!</v>
      </c>
      <c r="BF128" s="14" t="e">
        <f t="shared" si="54"/>
        <v>#REF!</v>
      </c>
      <c r="BG128" s="14" t="e">
        <f t="shared" si="55"/>
        <v>#REF!</v>
      </c>
      <c r="BH128" s="14">
        <v>0</v>
      </c>
      <c r="BI128" s="14"/>
      <c r="BJ128" s="14"/>
      <c r="BK128" s="14">
        <v>0</v>
      </c>
      <c r="BL128" s="14">
        <f t="shared" si="56"/>
        <v>0</v>
      </c>
      <c r="BM128" s="14">
        <f t="shared" si="57"/>
        <v>0</v>
      </c>
      <c r="BN128" s="14">
        <v>0</v>
      </c>
      <c r="BO128" s="14"/>
      <c r="BP128" s="14"/>
      <c r="BQ128" s="14"/>
      <c r="BR128" s="14">
        <v>0</v>
      </c>
      <c r="BS128" s="14"/>
      <c r="BT128" s="14">
        <v>0</v>
      </c>
      <c r="BU128" s="14"/>
      <c r="BV128" s="14">
        <v>155616.82</v>
      </c>
      <c r="BW128" s="14" t="e">
        <f>#REF!</f>
        <v>#REF!</v>
      </c>
      <c r="BX128" s="14">
        <v>0</v>
      </c>
      <c r="BY128" s="14">
        <f t="shared" si="58"/>
        <v>0</v>
      </c>
      <c r="BZ128" s="14">
        <f t="shared" si="59"/>
        <v>0</v>
      </c>
      <c r="CA128" s="14">
        <v>0</v>
      </c>
      <c r="CB128" s="14">
        <f t="shared" si="60"/>
        <v>0</v>
      </c>
      <c r="CC128" s="14">
        <f t="shared" si="61"/>
        <v>0</v>
      </c>
      <c r="CD128" s="14">
        <v>0</v>
      </c>
      <c r="CE128" s="14"/>
      <c r="CF128" s="14"/>
      <c r="CG128" s="14">
        <v>0</v>
      </c>
      <c r="CH128" s="14"/>
      <c r="CI128" s="14">
        <v>0</v>
      </c>
      <c r="CJ128" s="14">
        <v>0</v>
      </c>
      <c r="CK128" s="14"/>
      <c r="CL128" s="14">
        <v>0</v>
      </c>
      <c r="CM128" s="14">
        <v>0</v>
      </c>
      <c r="CN128" s="14">
        <v>0</v>
      </c>
      <c r="CO128" s="14">
        <v>0</v>
      </c>
      <c r="CP128" s="14">
        <v>0</v>
      </c>
      <c r="CQ128" s="14"/>
      <c r="CR128" s="14">
        <v>0</v>
      </c>
      <c r="CS128" s="14"/>
      <c r="CT128" s="14">
        <v>0</v>
      </c>
      <c r="CU128" s="14">
        <f t="shared" si="78"/>
        <v>0</v>
      </c>
      <c r="CV128" s="14">
        <f t="shared" si="79"/>
        <v>0</v>
      </c>
      <c r="CW128" s="14">
        <v>0</v>
      </c>
      <c r="CX128" s="14">
        <f t="shared" si="62"/>
        <v>0</v>
      </c>
      <c r="CY128" s="14">
        <f t="shared" si="63"/>
        <v>0</v>
      </c>
      <c r="CZ128" s="14">
        <v>0</v>
      </c>
      <c r="DA128" s="14">
        <f t="shared" si="64"/>
        <v>0</v>
      </c>
      <c r="DB128" s="14">
        <f t="shared" si="65"/>
        <v>0</v>
      </c>
      <c r="DC128" s="14">
        <v>0</v>
      </c>
      <c r="DD128" s="14">
        <f t="shared" si="66"/>
        <v>0</v>
      </c>
      <c r="DE128" s="14">
        <f t="shared" si="67"/>
        <v>0</v>
      </c>
      <c r="DF128" s="14">
        <v>155616.82</v>
      </c>
      <c r="DG128" s="14">
        <f t="shared" si="68"/>
        <v>155616.82</v>
      </c>
      <c r="DH128" s="14">
        <f t="shared" si="69"/>
        <v>0</v>
      </c>
      <c r="DI128" s="14">
        <v>0</v>
      </c>
      <c r="DJ128" s="14">
        <f>IFERROR(VLOOKUP(D128,#REF!,2,0),0)</f>
        <v>0</v>
      </c>
      <c r="DK128" s="14">
        <f t="shared" si="70"/>
        <v>0</v>
      </c>
      <c r="DL128" s="14">
        <v>0</v>
      </c>
      <c r="DM128" s="14">
        <v>0</v>
      </c>
      <c r="DN128" s="14">
        <v>0</v>
      </c>
      <c r="DO128" s="14">
        <v>0</v>
      </c>
      <c r="DP128" s="14">
        <v>0</v>
      </c>
      <c r="DQ128" s="14">
        <v>0</v>
      </c>
      <c r="DR128" s="14">
        <v>28</v>
      </c>
      <c r="DS128" s="14">
        <v>0</v>
      </c>
      <c r="DT128" s="5" t="s">
        <v>206</v>
      </c>
      <c r="DU128" s="5" t="s">
        <v>195</v>
      </c>
      <c r="DV128" s="5" t="s">
        <v>196</v>
      </c>
      <c r="DW128" s="5" t="s">
        <v>197</v>
      </c>
    </row>
    <row r="129" spans="1:127" ht="16.5">
      <c r="A129" s="5" t="s">
        <v>184</v>
      </c>
      <c r="B129" s="5" t="s">
        <v>147</v>
      </c>
      <c r="C129" s="5" t="s">
        <v>148</v>
      </c>
      <c r="D129" s="5" t="s">
        <v>878</v>
      </c>
      <c r="E129" s="5" t="e">
        <f>VLOOKUP(D129,#REF!,1,0)</f>
        <v>#REF!</v>
      </c>
      <c r="F129" s="5" t="s">
        <v>879</v>
      </c>
      <c r="G129" s="5" t="s">
        <v>880</v>
      </c>
      <c r="H129" s="5" t="str">
        <f t="shared" si="45"/>
        <v>Sukyung Kwon</v>
      </c>
      <c r="I129" s="5" t="e">
        <f>VLOOKUP(D129,#REF!,9,0)</f>
        <v>#REF!</v>
      </c>
      <c r="J129" s="5" t="e">
        <f t="shared" si="46"/>
        <v>#REF!</v>
      </c>
      <c r="K129" s="5" t="s">
        <v>881</v>
      </c>
      <c r="L129" s="5" t="s">
        <v>151</v>
      </c>
      <c r="M129" s="5" t="s">
        <v>390</v>
      </c>
      <c r="N129" s="10" t="e">
        <f>VLOOKUP(D129,#REF!,80,0)</f>
        <v>#REF!</v>
      </c>
      <c r="O129" s="11" t="e">
        <f t="shared" si="47"/>
        <v>#REF!</v>
      </c>
      <c r="P129" s="5" t="s">
        <v>203</v>
      </c>
      <c r="Q129" s="5" t="e">
        <f>VLOOKUP(D129,#REF!,50,0)</f>
        <v>#REF!</v>
      </c>
      <c r="R129" s="5" t="e">
        <f t="shared" si="48"/>
        <v>#REF!</v>
      </c>
      <c r="S129" s="5" t="s">
        <v>204</v>
      </c>
      <c r="T129" s="5" t="e">
        <f>VLOOKUP(D129,#REF!,21,0)</f>
        <v>#REF!</v>
      </c>
      <c r="U129" s="5" t="e">
        <f t="shared" si="49"/>
        <v>#REF!</v>
      </c>
      <c r="V129" s="5" t="s">
        <v>205</v>
      </c>
      <c r="W129" s="5" t="e">
        <f>VLOOKUP(D129,#REF!,51,0)</f>
        <v>#REF!</v>
      </c>
      <c r="X129" s="5" t="e">
        <f t="shared" si="50"/>
        <v>#REF!</v>
      </c>
      <c r="Y129" s="5" t="s">
        <v>192</v>
      </c>
      <c r="Z129" s="5" t="s">
        <v>193</v>
      </c>
      <c r="AA129" s="14">
        <v>2</v>
      </c>
      <c r="AB129" s="14">
        <v>42230</v>
      </c>
      <c r="AC129" s="14" t="e">
        <f>ROUND(VLOOKUP(D129,#REF!,59,0),0)</f>
        <v>#REF!</v>
      </c>
      <c r="AD129" s="14" t="e">
        <f t="shared" si="73"/>
        <v>#REF!</v>
      </c>
      <c r="AE129" s="14">
        <v>42230</v>
      </c>
      <c r="AF129" s="14">
        <f t="shared" si="74"/>
        <v>42230</v>
      </c>
      <c r="AG129" s="14">
        <f t="shared" si="75"/>
        <v>0</v>
      </c>
      <c r="AH129" s="14">
        <v>0</v>
      </c>
      <c r="AI129" s="14"/>
      <c r="AJ129" s="14"/>
      <c r="AK129" s="14">
        <v>0</v>
      </c>
      <c r="AL129" s="14"/>
      <c r="AM129" s="14"/>
      <c r="AN129" s="14">
        <v>0</v>
      </c>
      <c r="AO129" s="14">
        <v>0</v>
      </c>
      <c r="AP129" s="14">
        <f>IFERROR(VLOOKUP('Feb for check'!D129,#REF!,15,0),0)</f>
        <v>0</v>
      </c>
      <c r="AQ129" s="14">
        <f t="shared" si="51"/>
        <v>0</v>
      </c>
      <c r="AR129" s="14">
        <v>0</v>
      </c>
      <c r="AS129" s="14">
        <f t="shared" si="52"/>
        <v>0</v>
      </c>
      <c r="AT129" s="14">
        <f t="shared" si="53"/>
        <v>0</v>
      </c>
      <c r="AU129" s="14">
        <v>0</v>
      </c>
      <c r="AV129" s="14"/>
      <c r="AW129" s="14">
        <v>0</v>
      </c>
      <c r="AX129" s="14"/>
      <c r="AY129" s="14">
        <v>0</v>
      </c>
      <c r="AZ129" s="14"/>
      <c r="BA129" s="14">
        <v>691.95</v>
      </c>
      <c r="BB129" s="14">
        <f>IFERROR(VLOOKUP(D129,#REF!,2,0),0)</f>
        <v>0</v>
      </c>
      <c r="BC129" s="14" t="e">
        <f>MAX(VLOOKUP(D129,#REF!,13,0)-VLOOKUP(D129,#REF!,14,0),0)</f>
        <v>#REF!</v>
      </c>
      <c r="BD129" s="14">
        <f>IFERROR(VLOOKUP(D129,#REF!,3,0),0)</f>
        <v>0</v>
      </c>
      <c r="BE129" s="14" t="e">
        <f>MAX(VLOOKUP(D129,#REF!,22,0)-VLOOKUP(D129,#REF!,23,0),0)</f>
        <v>#REF!</v>
      </c>
      <c r="BF129" s="14" t="e">
        <f t="shared" si="54"/>
        <v>#REF!</v>
      </c>
      <c r="BG129" s="14" t="e">
        <f t="shared" si="55"/>
        <v>#REF!</v>
      </c>
      <c r="BH129" s="14">
        <v>0</v>
      </c>
      <c r="BI129" s="14"/>
      <c r="BJ129" s="14"/>
      <c r="BK129" s="14">
        <v>0</v>
      </c>
      <c r="BL129" s="14">
        <f t="shared" si="56"/>
        <v>0</v>
      </c>
      <c r="BM129" s="14">
        <f t="shared" si="57"/>
        <v>0</v>
      </c>
      <c r="BN129" s="14">
        <v>0</v>
      </c>
      <c r="BO129" s="14"/>
      <c r="BP129" s="14"/>
      <c r="BQ129" s="14"/>
      <c r="BR129" s="14">
        <v>0</v>
      </c>
      <c r="BS129" s="14"/>
      <c r="BT129" s="14">
        <v>0</v>
      </c>
      <c r="BU129" s="14"/>
      <c r="BV129" s="14">
        <v>0</v>
      </c>
      <c r="BW129" s="14"/>
      <c r="BX129" s="14">
        <v>42921.95</v>
      </c>
      <c r="BY129" s="14">
        <f t="shared" si="58"/>
        <v>42921.95</v>
      </c>
      <c r="BZ129" s="14">
        <f t="shared" si="59"/>
        <v>0</v>
      </c>
      <c r="CA129" s="14">
        <v>42921.95</v>
      </c>
      <c r="CB129" s="14">
        <f t="shared" si="60"/>
        <v>42921.95</v>
      </c>
      <c r="CC129" s="14">
        <f t="shared" si="61"/>
        <v>0</v>
      </c>
      <c r="CD129" s="14">
        <v>0</v>
      </c>
      <c r="CE129" s="14"/>
      <c r="CF129" s="14"/>
      <c r="CG129" s="14">
        <v>0</v>
      </c>
      <c r="CH129" s="14"/>
      <c r="CI129" s="14">
        <v>1388.3834999999999</v>
      </c>
      <c r="CJ129" s="14">
        <v>0</v>
      </c>
      <c r="CK129" s="14"/>
      <c r="CL129" s="14">
        <v>0</v>
      </c>
      <c r="CM129" s="14">
        <v>7.4999999999999997E-2</v>
      </c>
      <c r="CN129" s="14">
        <v>0</v>
      </c>
      <c r="CO129" s="14">
        <v>0</v>
      </c>
      <c r="CP129" s="14">
        <v>0</v>
      </c>
      <c r="CQ129" s="14"/>
      <c r="CR129" s="14">
        <v>0</v>
      </c>
      <c r="CS129" s="14"/>
      <c r="CT129" s="14">
        <v>1500</v>
      </c>
      <c r="CU129" s="14">
        <f t="shared" si="78"/>
        <v>1500</v>
      </c>
      <c r="CV129" s="14">
        <f t="shared" si="79"/>
        <v>0</v>
      </c>
      <c r="CW129" s="14">
        <v>0</v>
      </c>
      <c r="CX129" s="14">
        <f t="shared" si="62"/>
        <v>0</v>
      </c>
      <c r="CY129" s="14">
        <f t="shared" si="63"/>
        <v>0</v>
      </c>
      <c r="CZ129" s="14">
        <v>1500</v>
      </c>
      <c r="DA129" s="14">
        <f t="shared" si="64"/>
        <v>1500</v>
      </c>
      <c r="DB129" s="14">
        <f t="shared" si="65"/>
        <v>0</v>
      </c>
      <c r="DC129" s="14">
        <v>1719.15</v>
      </c>
      <c r="DD129" s="14">
        <f t="shared" si="66"/>
        <v>1719.15</v>
      </c>
      <c r="DE129" s="14">
        <f t="shared" si="67"/>
        <v>0</v>
      </c>
      <c r="DF129" s="14">
        <v>41421.949999999997</v>
      </c>
      <c r="DG129" s="14">
        <f t="shared" si="68"/>
        <v>41421.949999999997</v>
      </c>
      <c r="DH129" s="14">
        <f t="shared" si="69"/>
        <v>0</v>
      </c>
      <c r="DI129" s="14">
        <v>0</v>
      </c>
      <c r="DJ129" s="14">
        <f>IFERROR(VLOOKUP(D129,#REF!,2,0),0)</f>
        <v>0</v>
      </c>
      <c r="DK129" s="14">
        <f t="shared" si="70"/>
        <v>0</v>
      </c>
      <c r="DL129" s="14">
        <v>42921.95</v>
      </c>
      <c r="DM129" s="14">
        <v>636796.1</v>
      </c>
      <c r="DN129" s="14">
        <v>3519.17</v>
      </c>
      <c r="DO129" s="14">
        <v>691.95</v>
      </c>
      <c r="DP129" s="14">
        <v>0</v>
      </c>
      <c r="DQ129" s="14">
        <v>42921.95</v>
      </c>
      <c r="DR129" s="14">
        <v>28</v>
      </c>
      <c r="DS129" s="14">
        <v>0</v>
      </c>
      <c r="DT129" s="5" t="s">
        <v>206</v>
      </c>
      <c r="DU129" s="5" t="s">
        <v>195</v>
      </c>
      <c r="DV129" s="5" t="s">
        <v>196</v>
      </c>
      <c r="DW129" s="5" t="s">
        <v>197</v>
      </c>
    </row>
    <row r="130" spans="1:127" ht="16.5">
      <c r="A130" s="5" t="s">
        <v>184</v>
      </c>
      <c r="B130" s="5" t="s">
        <v>147</v>
      </c>
      <c r="C130" s="5" t="s">
        <v>148</v>
      </c>
      <c r="D130" s="5" t="s">
        <v>882</v>
      </c>
      <c r="E130" s="5" t="e">
        <f>VLOOKUP(D130,#REF!,1,0)</f>
        <v>#REF!</v>
      </c>
      <c r="F130" s="5" t="s">
        <v>264</v>
      </c>
      <c r="G130" s="5" t="s">
        <v>883</v>
      </c>
      <c r="H130" s="5" t="str">
        <f t="shared" si="45"/>
        <v>Hiu Lam Wong</v>
      </c>
      <c r="I130" s="5" t="e">
        <f>VLOOKUP(D130,#REF!,9,0)</f>
        <v>#REF!</v>
      </c>
      <c r="J130" s="5" t="e">
        <f t="shared" si="46"/>
        <v>#REF!</v>
      </c>
      <c r="K130" s="5" t="s">
        <v>884</v>
      </c>
      <c r="L130" s="5" t="s">
        <v>151</v>
      </c>
      <c r="M130" s="5" t="s">
        <v>885</v>
      </c>
      <c r="N130" s="10" t="e">
        <f>VLOOKUP(D130,#REF!,80,0)</f>
        <v>#REF!</v>
      </c>
      <c r="O130" s="11" t="e">
        <f t="shared" si="47"/>
        <v>#REF!</v>
      </c>
      <c r="P130" s="5" t="s">
        <v>260</v>
      </c>
      <c r="Q130" s="5" t="e">
        <f>VLOOKUP(D130,#REF!,50,0)</f>
        <v>#REF!</v>
      </c>
      <c r="R130" s="5" t="e">
        <f t="shared" si="48"/>
        <v>#REF!</v>
      </c>
      <c r="S130" s="5" t="s">
        <v>886</v>
      </c>
      <c r="T130" s="5" t="e">
        <f>VLOOKUP(D130,#REF!,21,0)</f>
        <v>#REF!</v>
      </c>
      <c r="U130" s="5" t="e">
        <f t="shared" si="49"/>
        <v>#REF!</v>
      </c>
      <c r="V130" s="5" t="s">
        <v>262</v>
      </c>
      <c r="W130" s="5" t="e">
        <f>VLOOKUP(D130,#REF!,51,0)</f>
        <v>#REF!</v>
      </c>
      <c r="X130" s="5" t="e">
        <f t="shared" si="50"/>
        <v>#REF!</v>
      </c>
      <c r="Y130" s="5" t="s">
        <v>192</v>
      </c>
      <c r="Z130" s="5" t="s">
        <v>193</v>
      </c>
      <c r="AA130" s="14">
        <v>7.16</v>
      </c>
      <c r="AB130" s="14">
        <v>40060</v>
      </c>
      <c r="AC130" s="14" t="e">
        <f>ROUND(VLOOKUP(D130,#REF!,59,0),0)</f>
        <v>#REF!</v>
      </c>
      <c r="AD130" s="14" t="e">
        <f t="shared" si="73"/>
        <v>#REF!</v>
      </c>
      <c r="AE130" s="14">
        <v>40060</v>
      </c>
      <c r="AF130" s="14">
        <f t="shared" si="74"/>
        <v>40060</v>
      </c>
      <c r="AG130" s="14">
        <f t="shared" si="75"/>
        <v>0</v>
      </c>
      <c r="AH130" s="14">
        <v>0</v>
      </c>
      <c r="AI130" s="14"/>
      <c r="AJ130" s="14"/>
      <c r="AK130" s="14">
        <v>0</v>
      </c>
      <c r="AL130" s="14"/>
      <c r="AM130" s="14"/>
      <c r="AN130" s="14">
        <v>0</v>
      </c>
      <c r="AO130" s="14">
        <v>0</v>
      </c>
      <c r="AP130" s="14">
        <f>IFERROR(VLOOKUP('Feb for check'!D130,#REF!,15,0),0)</f>
        <v>0</v>
      </c>
      <c r="AQ130" s="14">
        <f t="shared" si="51"/>
        <v>0</v>
      </c>
      <c r="AR130" s="14">
        <v>0</v>
      </c>
      <c r="AS130" s="14">
        <f t="shared" si="52"/>
        <v>0</v>
      </c>
      <c r="AT130" s="14">
        <f t="shared" si="53"/>
        <v>0</v>
      </c>
      <c r="AU130" s="14">
        <v>0</v>
      </c>
      <c r="AV130" s="14"/>
      <c r="AW130" s="14">
        <v>0</v>
      </c>
      <c r="AX130" s="14"/>
      <c r="AY130" s="14">
        <v>0</v>
      </c>
      <c r="AZ130" s="14"/>
      <c r="BA130" s="14">
        <v>0</v>
      </c>
      <c r="BB130" s="14">
        <f>IFERROR(VLOOKUP(D130,#REF!,2,0),0)</f>
        <v>0</v>
      </c>
      <c r="BC130" s="14" t="e">
        <f>MAX(VLOOKUP(D130,#REF!,13,0)-VLOOKUP(D130,#REF!,14,0),0)</f>
        <v>#REF!</v>
      </c>
      <c r="BD130" s="14">
        <f>IFERROR(VLOOKUP(D130,#REF!,3,0),0)</f>
        <v>0</v>
      </c>
      <c r="BE130" s="14" t="e">
        <f>MAX(VLOOKUP(D130,#REF!,22,0)-VLOOKUP(D130,#REF!,23,0),0)</f>
        <v>#REF!</v>
      </c>
      <c r="BF130" s="14" t="e">
        <f t="shared" si="54"/>
        <v>#REF!</v>
      </c>
      <c r="BG130" s="14" t="e">
        <f t="shared" si="55"/>
        <v>#REF!</v>
      </c>
      <c r="BH130" s="14">
        <v>0</v>
      </c>
      <c r="BI130" s="14"/>
      <c r="BJ130" s="14"/>
      <c r="BK130" s="14">
        <v>0</v>
      </c>
      <c r="BL130" s="14">
        <f t="shared" si="56"/>
        <v>0</v>
      </c>
      <c r="BM130" s="14">
        <f t="shared" si="57"/>
        <v>0</v>
      </c>
      <c r="BN130" s="14">
        <v>0</v>
      </c>
      <c r="BO130" s="14"/>
      <c r="BP130" s="14"/>
      <c r="BQ130" s="14"/>
      <c r="BR130" s="14">
        <v>0</v>
      </c>
      <c r="BS130" s="14"/>
      <c r="BT130" s="14">
        <v>0</v>
      </c>
      <c r="BU130" s="14"/>
      <c r="BV130" s="14">
        <v>0</v>
      </c>
      <c r="BW130" s="14"/>
      <c r="BX130" s="14">
        <v>40060</v>
      </c>
      <c r="BY130" s="14">
        <f t="shared" si="58"/>
        <v>40060</v>
      </c>
      <c r="BZ130" s="14">
        <f t="shared" si="59"/>
        <v>0</v>
      </c>
      <c r="CA130" s="14">
        <v>40060</v>
      </c>
      <c r="CB130" s="14">
        <f t="shared" si="60"/>
        <v>40060</v>
      </c>
      <c r="CC130" s="14">
        <f t="shared" si="61"/>
        <v>0</v>
      </c>
      <c r="CD130" s="14">
        <v>0</v>
      </c>
      <c r="CE130" s="14"/>
      <c r="CF130" s="14"/>
      <c r="CG130" s="14">
        <v>0</v>
      </c>
      <c r="CH130" s="14"/>
      <c r="CI130" s="14">
        <v>1317.0409999999999</v>
      </c>
      <c r="CJ130" s="14">
        <v>0</v>
      </c>
      <c r="CK130" s="14"/>
      <c r="CL130" s="14">
        <v>0</v>
      </c>
      <c r="CM130" s="14">
        <v>7.4999999999999997E-2</v>
      </c>
      <c r="CN130" s="14">
        <v>0</v>
      </c>
      <c r="CO130" s="14">
        <v>0</v>
      </c>
      <c r="CP130" s="14">
        <v>0</v>
      </c>
      <c r="CQ130" s="14"/>
      <c r="CR130" s="14">
        <v>0</v>
      </c>
      <c r="CS130" s="14"/>
      <c r="CT130" s="14">
        <v>1500</v>
      </c>
      <c r="CU130" s="14">
        <f t="shared" si="78"/>
        <v>1500</v>
      </c>
      <c r="CV130" s="14">
        <f t="shared" si="79"/>
        <v>0</v>
      </c>
      <c r="CW130" s="14">
        <v>0</v>
      </c>
      <c r="CX130" s="14">
        <f t="shared" si="62"/>
        <v>0</v>
      </c>
      <c r="CY130" s="14">
        <f t="shared" si="63"/>
        <v>0</v>
      </c>
      <c r="CZ130" s="14">
        <v>1500</v>
      </c>
      <c r="DA130" s="14">
        <f t="shared" si="64"/>
        <v>1500</v>
      </c>
      <c r="DB130" s="14">
        <f t="shared" si="65"/>
        <v>0</v>
      </c>
      <c r="DC130" s="14">
        <v>1504.5</v>
      </c>
      <c r="DD130" s="14">
        <f t="shared" si="66"/>
        <v>1504.5</v>
      </c>
      <c r="DE130" s="14">
        <f t="shared" si="67"/>
        <v>0</v>
      </c>
      <c r="DF130" s="14">
        <v>38560</v>
      </c>
      <c r="DG130" s="14">
        <f t="shared" si="68"/>
        <v>38560</v>
      </c>
      <c r="DH130" s="14">
        <f t="shared" si="69"/>
        <v>0</v>
      </c>
      <c r="DI130" s="14">
        <v>0</v>
      </c>
      <c r="DJ130" s="14">
        <f>IFERROR(VLOOKUP(D130,#REF!,2,0),0)</f>
        <v>0</v>
      </c>
      <c r="DK130" s="14">
        <f t="shared" si="70"/>
        <v>0</v>
      </c>
      <c r="DL130" s="14">
        <v>40060</v>
      </c>
      <c r="DM130" s="14">
        <v>668287.97</v>
      </c>
      <c r="DN130" s="14">
        <v>3338.33</v>
      </c>
      <c r="DO130" s="14">
        <v>0</v>
      </c>
      <c r="DP130" s="14">
        <v>0</v>
      </c>
      <c r="DQ130" s="14">
        <v>40060</v>
      </c>
      <c r="DR130" s="14">
        <v>28</v>
      </c>
      <c r="DS130" s="14">
        <v>0</v>
      </c>
      <c r="DT130" s="5" t="s">
        <v>206</v>
      </c>
      <c r="DU130" s="5" t="s">
        <v>195</v>
      </c>
      <c r="DV130" s="5" t="s">
        <v>196</v>
      </c>
      <c r="DW130" s="5" t="s">
        <v>197</v>
      </c>
    </row>
    <row r="131" spans="1:127" ht="16.5">
      <c r="A131" s="5" t="s">
        <v>184</v>
      </c>
      <c r="B131" s="5" t="s">
        <v>147</v>
      </c>
      <c r="C131" s="5" t="s">
        <v>148</v>
      </c>
      <c r="D131" s="5" t="s">
        <v>887</v>
      </c>
      <c r="E131" s="5" t="e">
        <f>VLOOKUP(D131,#REF!,1,0)</f>
        <v>#REF!</v>
      </c>
      <c r="F131" s="5" t="s">
        <v>888</v>
      </c>
      <c r="G131" s="5" t="s">
        <v>889</v>
      </c>
      <c r="H131" s="5" t="str">
        <f t="shared" ref="H131:H133" si="80">G131&amp;" "&amp;F131</f>
        <v>Tsz Ning Lo</v>
      </c>
      <c r="I131" s="5" t="e">
        <f>VLOOKUP(D131,#REF!,9,0)</f>
        <v>#REF!</v>
      </c>
      <c r="J131" s="5" t="e">
        <f t="shared" ref="J131" si="81">I131=H131</f>
        <v>#REF!</v>
      </c>
      <c r="K131" s="5" t="s">
        <v>890</v>
      </c>
      <c r="L131" s="5" t="s">
        <v>151</v>
      </c>
      <c r="M131" s="5" t="s">
        <v>891</v>
      </c>
      <c r="N131" s="10" t="e">
        <f>VLOOKUP(D131,#REF!,80,0)</f>
        <v>#REF!</v>
      </c>
      <c r="O131" s="11" t="e">
        <f t="shared" si="47"/>
        <v>#REF!</v>
      </c>
      <c r="P131" s="5" t="s">
        <v>500</v>
      </c>
      <c r="Q131" s="5" t="e">
        <f>VLOOKUP(D131,#REF!,50,0)</f>
        <v>#REF!</v>
      </c>
      <c r="R131" s="5" t="e">
        <f t="shared" si="48"/>
        <v>#REF!</v>
      </c>
      <c r="S131" s="5" t="s">
        <v>460</v>
      </c>
      <c r="T131" s="5" t="e">
        <f>VLOOKUP(D131,#REF!,21,0)</f>
        <v>#REF!</v>
      </c>
      <c r="U131" s="5" t="e">
        <f t="shared" si="49"/>
        <v>#REF!</v>
      </c>
      <c r="V131" s="5" t="s">
        <v>502</v>
      </c>
      <c r="W131" s="5" t="e">
        <f>VLOOKUP(D131,#REF!,51,0)</f>
        <v>#REF!</v>
      </c>
      <c r="X131" s="5" t="e">
        <f t="shared" si="50"/>
        <v>#REF!</v>
      </c>
      <c r="Y131" s="5" t="s">
        <v>192</v>
      </c>
      <c r="Z131" s="5" t="s">
        <v>193</v>
      </c>
      <c r="AA131" s="14">
        <v>1.62</v>
      </c>
      <c r="AB131" s="14">
        <v>54500</v>
      </c>
      <c r="AC131" s="14" t="e">
        <f>ROUND(VLOOKUP(D131,#REF!,59,0),0)</f>
        <v>#REF!</v>
      </c>
      <c r="AD131" s="14" t="e">
        <f t="shared" si="73"/>
        <v>#REF!</v>
      </c>
      <c r="AE131" s="14">
        <v>54500</v>
      </c>
      <c r="AF131" s="14">
        <f t="shared" si="74"/>
        <v>54500</v>
      </c>
      <c r="AG131" s="14">
        <f t="shared" si="75"/>
        <v>0</v>
      </c>
      <c r="AH131" s="14">
        <v>0</v>
      </c>
      <c r="AI131" s="14"/>
      <c r="AJ131" s="14"/>
      <c r="AK131" s="14">
        <v>0</v>
      </c>
      <c r="AL131" s="14"/>
      <c r="AM131" s="14"/>
      <c r="AN131" s="14">
        <v>0</v>
      </c>
      <c r="AO131" s="14">
        <v>0</v>
      </c>
      <c r="AP131" s="14">
        <f>IFERROR(VLOOKUP('Feb for check'!D131,#REF!,15,0),0)</f>
        <v>0</v>
      </c>
      <c r="AQ131" s="14">
        <f t="shared" si="51"/>
        <v>0</v>
      </c>
      <c r="AR131" s="14">
        <v>0</v>
      </c>
      <c r="AS131" s="14">
        <f t="shared" si="52"/>
        <v>0</v>
      </c>
      <c r="AT131" s="14">
        <f t="shared" si="53"/>
        <v>0</v>
      </c>
      <c r="AU131" s="14">
        <v>0</v>
      </c>
      <c r="AV131" s="14"/>
      <c r="AW131" s="14">
        <v>0</v>
      </c>
      <c r="AX131" s="14"/>
      <c r="AY131" s="14">
        <v>0</v>
      </c>
      <c r="AZ131" s="14"/>
      <c r="BA131" s="14">
        <v>1013.58</v>
      </c>
      <c r="BB131" s="14">
        <f>IFERROR(VLOOKUP(D131,#REF!,2,0),0)</f>
        <v>0</v>
      </c>
      <c r="BC131" s="14" t="e">
        <f>MAX(VLOOKUP(D131,#REF!,13,0)-VLOOKUP(D131,#REF!,14,0),0)</f>
        <v>#REF!</v>
      </c>
      <c r="BD131" s="14">
        <f>IFERROR(VLOOKUP(D131,#REF!,3,0),0)</f>
        <v>0</v>
      </c>
      <c r="BE131" s="14" t="e">
        <f>MAX(VLOOKUP(D131,#REF!,22,0)-VLOOKUP(D131,#REF!,23,0),0)</f>
        <v>#REF!</v>
      </c>
      <c r="BF131" s="14" t="e">
        <f t="shared" si="54"/>
        <v>#REF!</v>
      </c>
      <c r="BG131" s="14" t="e">
        <f t="shared" si="55"/>
        <v>#REF!</v>
      </c>
      <c r="BH131" s="14">
        <v>0</v>
      </c>
      <c r="BI131" s="14"/>
      <c r="BJ131" s="14"/>
      <c r="BK131" s="14">
        <v>55</v>
      </c>
      <c r="BL131" s="14">
        <f t="shared" si="56"/>
        <v>55</v>
      </c>
      <c r="BM131" s="14">
        <f t="shared" si="57"/>
        <v>0</v>
      </c>
      <c r="BN131" s="14">
        <v>0</v>
      </c>
      <c r="BO131" s="14"/>
      <c r="BP131" s="14"/>
      <c r="BQ131" s="14"/>
      <c r="BR131" s="14">
        <v>0</v>
      </c>
      <c r="BS131" s="14"/>
      <c r="BT131" s="14">
        <v>0</v>
      </c>
      <c r="BU131" s="14"/>
      <c r="BV131" s="14">
        <v>0</v>
      </c>
      <c r="BW131" s="14"/>
      <c r="BX131" s="14">
        <v>55568.58</v>
      </c>
      <c r="BY131" s="14">
        <f t="shared" si="58"/>
        <v>55568.58</v>
      </c>
      <c r="BZ131" s="14">
        <f t="shared" si="59"/>
        <v>0</v>
      </c>
      <c r="CA131" s="14">
        <v>55513.58</v>
      </c>
      <c r="CB131" s="14">
        <f t="shared" si="60"/>
        <v>55513.58</v>
      </c>
      <c r="CC131" s="14">
        <f t="shared" si="61"/>
        <v>0</v>
      </c>
      <c r="CD131" s="14">
        <v>0</v>
      </c>
      <c r="CE131" s="14"/>
      <c r="CF131" s="14"/>
      <c r="CG131" s="14">
        <v>0</v>
      </c>
      <c r="CH131" s="14"/>
      <c r="CI131" s="14">
        <v>1791.7808</v>
      </c>
      <c r="CJ131" s="14">
        <v>0.05</v>
      </c>
      <c r="CK131" s="14" t="e">
        <f>VLOOKUP(D131,#REF!,6,0)</f>
        <v>#REF!</v>
      </c>
      <c r="CL131" s="14">
        <v>0</v>
      </c>
      <c r="CM131" s="14">
        <v>0.1</v>
      </c>
      <c r="CN131" s="14">
        <v>0</v>
      </c>
      <c r="CO131" s="14">
        <v>0</v>
      </c>
      <c r="CP131" s="14">
        <v>0</v>
      </c>
      <c r="CQ131" s="14"/>
      <c r="CR131" s="14">
        <v>0</v>
      </c>
      <c r="CS131" s="14"/>
      <c r="CT131" s="14">
        <v>1500</v>
      </c>
      <c r="CU131" s="14">
        <f t="shared" si="78"/>
        <v>1500</v>
      </c>
      <c r="CV131" s="14">
        <f t="shared" si="79"/>
        <v>0</v>
      </c>
      <c r="CW131" s="14">
        <v>5602.04</v>
      </c>
      <c r="CX131" s="15" t="e">
        <f>ROUND(CA131*CJ131,2)+#REF!</f>
        <v>#REF!</v>
      </c>
      <c r="CY131" s="15" t="s">
        <v>723</v>
      </c>
      <c r="CZ131" s="14">
        <v>1500</v>
      </c>
      <c r="DA131" s="14">
        <f t="shared" si="64"/>
        <v>1500</v>
      </c>
      <c r="DB131" s="14">
        <f t="shared" si="65"/>
        <v>0</v>
      </c>
      <c r="DC131" s="14">
        <v>5464.54</v>
      </c>
      <c r="DD131" s="14" t="e">
        <f>MAX(ROUND(CA131*CM131-CZ131,2),0)+#REF!</f>
        <v>#REF!</v>
      </c>
      <c r="DE131" s="15" t="s">
        <v>723</v>
      </c>
      <c r="DF131" s="14">
        <v>48466.54</v>
      </c>
      <c r="DG131" s="14">
        <f t="shared" si="68"/>
        <v>48466.54</v>
      </c>
      <c r="DH131" s="14">
        <f t="shared" si="69"/>
        <v>0</v>
      </c>
      <c r="DI131" s="14">
        <v>268.10000000000002</v>
      </c>
      <c r="DJ131" s="14">
        <f>IFERROR(VLOOKUP(D131,#REF!,2,0),0)</f>
        <v>0</v>
      </c>
      <c r="DK131" s="14">
        <f t="shared" si="70"/>
        <v>-268.10000000000002</v>
      </c>
      <c r="DL131" s="14">
        <v>55568.58</v>
      </c>
      <c r="DM131" s="14">
        <v>850012.02</v>
      </c>
      <c r="DN131" s="14">
        <v>4541.67</v>
      </c>
      <c r="DO131" s="14">
        <v>1013.58</v>
      </c>
      <c r="DP131" s="14">
        <v>0</v>
      </c>
      <c r="DQ131" s="14">
        <v>55513.58</v>
      </c>
      <c r="DR131" s="14">
        <v>28</v>
      </c>
      <c r="DS131" s="14">
        <v>0</v>
      </c>
      <c r="DT131" s="5" t="s">
        <v>206</v>
      </c>
      <c r="DU131" s="5" t="s">
        <v>195</v>
      </c>
      <c r="DV131" s="5" t="s">
        <v>196</v>
      </c>
      <c r="DW131" s="5" t="s">
        <v>197</v>
      </c>
    </row>
    <row r="132" spans="1:127" ht="16.5">
      <c r="A132" s="5" t="s">
        <v>184</v>
      </c>
      <c r="B132" s="5" t="s">
        <v>147</v>
      </c>
      <c r="C132" s="5" t="s">
        <v>148</v>
      </c>
      <c r="D132" s="5" t="s">
        <v>892</v>
      </c>
      <c r="E132" s="5" t="e">
        <f>VLOOKUP(D132,#REF!,1,0)</f>
        <v>#REF!</v>
      </c>
      <c r="F132" s="5" t="s">
        <v>813</v>
      </c>
      <c r="G132" s="5" t="s">
        <v>893</v>
      </c>
      <c r="H132" s="5" t="str">
        <f t="shared" si="80"/>
        <v>Yuen Yan Vivien Poon</v>
      </c>
      <c r="I132" s="5" t="e">
        <f>VLOOKUP(D132,#REF!,9,0)</f>
        <v>#REF!</v>
      </c>
      <c r="J132" s="5" t="s">
        <v>543</v>
      </c>
      <c r="K132" s="5" t="s">
        <v>894</v>
      </c>
      <c r="L132" s="5" t="s">
        <v>151</v>
      </c>
      <c r="M132" s="5" t="s">
        <v>895</v>
      </c>
      <c r="N132" s="10" t="e">
        <f>VLOOKUP(D132,#REF!,80,0)</f>
        <v>#REF!</v>
      </c>
      <c r="O132" s="11" t="e">
        <f t="shared" ref="O132" si="82">N132-M132</f>
        <v>#REF!</v>
      </c>
      <c r="P132" s="5" t="s">
        <v>402</v>
      </c>
      <c r="Q132" s="5" t="e">
        <f>VLOOKUP(D132,#REF!,50,0)</f>
        <v>#REF!</v>
      </c>
      <c r="R132" s="5" t="e">
        <f t="shared" ref="R132" si="83">Q132=P132</f>
        <v>#REF!</v>
      </c>
      <c r="S132" s="5" t="s">
        <v>896</v>
      </c>
      <c r="T132" s="5" t="e">
        <f>VLOOKUP(D132,#REF!,21,0)</f>
        <v>#REF!</v>
      </c>
      <c r="U132" s="5" t="e">
        <f t="shared" ref="U132" si="84">T132=S132</f>
        <v>#REF!</v>
      </c>
      <c r="V132" s="5" t="s">
        <v>404</v>
      </c>
      <c r="W132" s="5" t="e">
        <f>VLOOKUP(D132,#REF!,51,0)</f>
        <v>#REF!</v>
      </c>
      <c r="X132" s="5" t="e">
        <f t="shared" ref="X132" si="85">W132=V132</f>
        <v>#REF!</v>
      </c>
      <c r="Y132" s="5" t="s">
        <v>192</v>
      </c>
      <c r="Z132" s="5" t="s">
        <v>193</v>
      </c>
      <c r="AA132" s="14">
        <v>0.85</v>
      </c>
      <c r="AB132" s="14">
        <v>39000</v>
      </c>
      <c r="AC132" s="14" t="e">
        <f>ROUND(VLOOKUP(D132,#REF!,59,0),0)</f>
        <v>#REF!</v>
      </c>
      <c r="AD132" s="14" t="e">
        <f t="shared" si="73"/>
        <v>#REF!</v>
      </c>
      <c r="AE132" s="14">
        <v>39000</v>
      </c>
      <c r="AF132" s="14">
        <f t="shared" si="74"/>
        <v>39000</v>
      </c>
      <c r="AG132" s="14">
        <f t="shared" si="75"/>
        <v>0</v>
      </c>
      <c r="AH132" s="14">
        <v>0</v>
      </c>
      <c r="AI132" s="14"/>
      <c r="AJ132" s="14"/>
      <c r="AK132" s="14">
        <v>0</v>
      </c>
      <c r="AL132" s="14"/>
      <c r="AM132" s="14"/>
      <c r="AN132" s="14">
        <v>0</v>
      </c>
      <c r="AO132" s="14">
        <v>0</v>
      </c>
      <c r="AP132" s="14">
        <f>IFERROR(VLOOKUP('Feb for check'!D132,#REF!,15,0),0)</f>
        <v>0</v>
      </c>
      <c r="AQ132" s="14">
        <f t="shared" ref="AQ132" si="86">AP132-AO132</f>
        <v>0</v>
      </c>
      <c r="AR132" s="14">
        <v>0</v>
      </c>
      <c r="AS132" s="14">
        <f t="shared" ref="AS132" si="87">AO132</f>
        <v>0</v>
      </c>
      <c r="AT132" s="14">
        <f t="shared" ref="AT132" si="88">AS132-AR132</f>
        <v>0</v>
      </c>
      <c r="AU132" s="14">
        <v>0</v>
      </c>
      <c r="AV132" s="14"/>
      <c r="AW132" s="14">
        <v>0</v>
      </c>
      <c r="AX132" s="14"/>
      <c r="AY132" s="14">
        <v>0</v>
      </c>
      <c r="AZ132" s="14"/>
      <c r="BA132" s="14">
        <v>49.62</v>
      </c>
      <c r="BB132" s="14">
        <f>IFERROR(VLOOKUP(D132,#REF!,2,0),0)</f>
        <v>0</v>
      </c>
      <c r="BC132" s="14" t="e">
        <f>MAX(VLOOKUP(D132,#REF!,13,0)-VLOOKUP(D132,#REF!,14,0),0)</f>
        <v>#REF!</v>
      </c>
      <c r="BD132" s="14">
        <f>IFERROR(VLOOKUP(D132,#REF!,3,0),0)</f>
        <v>0</v>
      </c>
      <c r="BE132" s="14" t="e">
        <f>MAX(VLOOKUP(D132,#REF!,22,0)-VLOOKUP(D132,#REF!,23,0),0)</f>
        <v>#REF!</v>
      </c>
      <c r="BF132" s="14" t="e">
        <f t="shared" ref="BF132" si="89">BB132*BC132+BD132*BE132</f>
        <v>#REF!</v>
      </c>
      <c r="BG132" s="14" t="e">
        <f t="shared" ref="BG132" si="90">BF132-BA132</f>
        <v>#REF!</v>
      </c>
      <c r="BH132" s="14">
        <v>0</v>
      </c>
      <c r="BI132" s="14"/>
      <c r="BJ132" s="14"/>
      <c r="BK132" s="14">
        <v>496</v>
      </c>
      <c r="BL132" s="14">
        <f>ROUNDUP(DI132/(1-0.17)*0.17,0)</f>
        <v>496</v>
      </c>
      <c r="BM132" s="14">
        <f t="shared" ref="BM132" si="91">BL132-BK132</f>
        <v>0</v>
      </c>
      <c r="BN132" s="14">
        <v>0</v>
      </c>
      <c r="BO132" s="14"/>
      <c r="BP132" s="14"/>
      <c r="BQ132" s="14"/>
      <c r="BR132" s="14">
        <v>0</v>
      </c>
      <c r="BS132" s="14"/>
      <c r="BT132" s="14">
        <v>0</v>
      </c>
      <c r="BU132" s="14"/>
      <c r="BV132" s="14">
        <v>0</v>
      </c>
      <c r="BW132" s="14"/>
      <c r="BX132" s="14">
        <v>39545.620000000003</v>
      </c>
      <c r="BY132" s="14">
        <f t="shared" ref="BY132" si="92">SUM(AE132,AH132,AN132,AR132,AU132,AY132,BA132,BH132,BK132,BN132,BR132,BT132)</f>
        <v>39545.620000000003</v>
      </c>
      <c r="BZ132" s="14">
        <f t="shared" ref="BZ132" si="93">BY132-BX132</f>
        <v>0</v>
      </c>
      <c r="CA132" s="14">
        <v>39049.620000000003</v>
      </c>
      <c r="CB132" s="14">
        <f t="shared" ref="CB132" si="94">SUM(AE132,AH132,BA132,BH132)</f>
        <v>39049.620000000003</v>
      </c>
      <c r="CC132" s="14">
        <f t="shared" ref="CC132" si="95">CB132-CA132</f>
        <v>0</v>
      </c>
      <c r="CD132" s="14">
        <v>0</v>
      </c>
      <c r="CE132" s="14"/>
      <c r="CF132" s="14"/>
      <c r="CG132" s="14">
        <v>0</v>
      </c>
      <c r="CH132" s="14"/>
      <c r="CI132" s="14">
        <v>1282.1917000000001</v>
      </c>
      <c r="CJ132" s="14">
        <v>0</v>
      </c>
      <c r="CK132" s="14"/>
      <c r="CL132" s="14">
        <v>0</v>
      </c>
      <c r="CM132" s="14">
        <v>7.4999999999999997E-2</v>
      </c>
      <c r="CN132" s="14">
        <v>0</v>
      </c>
      <c r="CO132" s="14">
        <v>0</v>
      </c>
      <c r="CP132" s="14">
        <v>0</v>
      </c>
      <c r="CQ132" s="14"/>
      <c r="CR132" s="14">
        <v>0</v>
      </c>
      <c r="CS132" s="14"/>
      <c r="CT132" s="14">
        <v>1500</v>
      </c>
      <c r="CU132" s="14">
        <f t="shared" si="78"/>
        <v>1500</v>
      </c>
      <c r="CV132" s="14">
        <f t="shared" si="79"/>
        <v>0</v>
      </c>
      <c r="CW132" s="14">
        <v>0</v>
      </c>
      <c r="CX132" s="14">
        <f t="shared" ref="CX132" si="96">ROUND(CA132*CJ132,2)</f>
        <v>0</v>
      </c>
      <c r="CY132" s="14">
        <f t="shared" ref="CY132" si="97">CX132-CW132</f>
        <v>0</v>
      </c>
      <c r="CZ132" s="14">
        <v>1500</v>
      </c>
      <c r="DA132" s="14">
        <f t="shared" ref="DA132" si="98">MIN(BX132*5%,1500)</f>
        <v>1500</v>
      </c>
      <c r="DB132" s="14">
        <f t="shared" ref="DB132" si="99">DA132-CZ132</f>
        <v>0</v>
      </c>
      <c r="DC132" s="14">
        <v>1428.72</v>
      </c>
      <c r="DD132" s="14">
        <f t="shared" ref="DD132" si="100">MAX(ROUND(CA132*CM132-CZ132,2),0)</f>
        <v>1428.72</v>
      </c>
      <c r="DE132" s="14">
        <f t="shared" ref="DE132" si="101">DD132-DC132</f>
        <v>0</v>
      </c>
      <c r="DF132" s="14">
        <v>38045.620000000003</v>
      </c>
      <c r="DG132" s="14">
        <f t="shared" ref="DG132" si="102">SUM(AE132,AH132,AN132,AR132,AU132,AY132,BA132,BH132,BK132,BN132,BR132,BT132,BV132,-CG132,-CP132,-CT132,-CW132)</f>
        <v>38045.620000000003</v>
      </c>
      <c r="DH132" s="14">
        <f t="shared" ref="DH132" si="103">DG132-DF132</f>
        <v>0</v>
      </c>
      <c r="DI132" s="14">
        <v>2420.38</v>
      </c>
      <c r="DJ132" s="14">
        <f>IFERROR(VLOOKUP(D132,#REF!,2,0),0)</f>
        <v>0</v>
      </c>
      <c r="DK132" s="14">
        <f t="shared" ref="DK132" si="104">DJ132-DI132</f>
        <v>-2420.38</v>
      </c>
      <c r="DL132" s="14">
        <v>39545.620000000003</v>
      </c>
      <c r="DM132" s="14">
        <v>438837.36</v>
      </c>
      <c r="DN132" s="14">
        <v>3250</v>
      </c>
      <c r="DO132" s="14">
        <v>49.62</v>
      </c>
      <c r="DP132" s="14">
        <v>0</v>
      </c>
      <c r="DQ132" s="14">
        <v>39049.620000000003</v>
      </c>
      <c r="DR132" s="14">
        <v>28</v>
      </c>
      <c r="DS132" s="14">
        <v>0</v>
      </c>
      <c r="DT132" s="5" t="s">
        <v>206</v>
      </c>
      <c r="DU132" s="5" t="s">
        <v>195</v>
      </c>
      <c r="DV132" s="5" t="s">
        <v>196</v>
      </c>
      <c r="DW132" s="5" t="s">
        <v>197</v>
      </c>
    </row>
    <row r="133" spans="1:127" ht="16.5">
      <c r="A133" s="5" t="s">
        <v>897</v>
      </c>
      <c r="B133" s="5"/>
      <c r="C133" s="5"/>
      <c r="D133" s="5"/>
      <c r="E133" s="5"/>
      <c r="F133" s="5"/>
      <c r="G133" s="5"/>
      <c r="H133" s="5" t="str">
        <f t="shared" si="80"/>
        <v xml:space="preserve"> </v>
      </c>
      <c r="I133" s="5"/>
      <c r="J133" s="5"/>
      <c r="K133" s="5"/>
      <c r="L133" s="5"/>
      <c r="M133" s="5"/>
      <c r="N133" s="10"/>
      <c r="O133" s="11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14">
        <v>0</v>
      </c>
      <c r="AB133" s="14">
        <v>7395363.7800000003</v>
      </c>
      <c r="AC133" s="14"/>
      <c r="AD133" s="14"/>
      <c r="AE133" s="14">
        <v>7398917.9900000002</v>
      </c>
      <c r="AF133" s="14"/>
      <c r="AG133" s="14"/>
      <c r="AH133" s="14">
        <v>-13070.71</v>
      </c>
      <c r="AI133" s="14"/>
      <c r="AJ133" s="14"/>
      <c r="AK133" s="14">
        <v>13500</v>
      </c>
      <c r="AL133" s="14"/>
      <c r="AM133" s="14"/>
      <c r="AN133" s="14">
        <v>13500</v>
      </c>
      <c r="AO133" s="14">
        <v>80000</v>
      </c>
      <c r="AP133" s="14"/>
      <c r="AQ133" s="14"/>
      <c r="AR133" s="14">
        <v>79553.570000000007</v>
      </c>
      <c r="AS133" s="14"/>
      <c r="AT133" s="14"/>
      <c r="AU133" s="14">
        <v>-967.74</v>
      </c>
      <c r="AV133" s="14"/>
      <c r="AW133" s="14">
        <v>40000</v>
      </c>
      <c r="AX133" s="14"/>
      <c r="AY133" s="14">
        <v>40000</v>
      </c>
      <c r="AZ133" s="14"/>
      <c r="BA133" s="14">
        <v>113987.24</v>
      </c>
      <c r="BB133" s="14"/>
      <c r="BC133" s="14"/>
      <c r="BD133" s="14"/>
      <c r="BE133" s="14"/>
      <c r="BF133" s="14"/>
      <c r="BG133" s="14"/>
      <c r="BH133" s="14">
        <v>14759.52</v>
      </c>
      <c r="BI133" s="14"/>
      <c r="BJ133" s="14"/>
      <c r="BK133" s="14">
        <v>53273</v>
      </c>
      <c r="BL133" s="14"/>
      <c r="BM133" s="14"/>
      <c r="BN133" s="14">
        <v>5606.56</v>
      </c>
      <c r="BO133" s="14"/>
      <c r="BP133" s="14"/>
      <c r="BQ133" s="14"/>
      <c r="BR133" s="14">
        <v>16000</v>
      </c>
      <c r="BS133" s="14"/>
      <c r="BT133" s="14">
        <v>5815.62</v>
      </c>
      <c r="BU133" s="14"/>
      <c r="BV133" s="14">
        <v>0</v>
      </c>
      <c r="BW133" s="14"/>
      <c r="BX133" s="14">
        <v>7461671.0099999998</v>
      </c>
      <c r="BY133" s="14"/>
      <c r="BZ133" s="14"/>
      <c r="CA133" s="14">
        <v>7276678.9199999999</v>
      </c>
      <c r="CB133" s="14"/>
      <c r="CC133" s="14"/>
      <c r="CD133" s="14">
        <v>424123</v>
      </c>
      <c r="CE133" s="14"/>
      <c r="CF133" s="14"/>
      <c r="CG133" s="14">
        <v>962</v>
      </c>
      <c r="CH133" s="14"/>
      <c r="CI133" s="14">
        <v>0</v>
      </c>
      <c r="CJ133" s="14">
        <v>1.98</v>
      </c>
      <c r="CK133" s="14"/>
      <c r="CL133" s="14">
        <v>0.18</v>
      </c>
      <c r="CM133" s="14">
        <v>10.315</v>
      </c>
      <c r="CN133" s="14">
        <v>0</v>
      </c>
      <c r="CO133" s="14">
        <v>0</v>
      </c>
      <c r="CP133" s="14">
        <v>21206.15</v>
      </c>
      <c r="CQ133" s="14"/>
      <c r="CR133" s="14">
        <v>25871.51</v>
      </c>
      <c r="CS133" s="14"/>
      <c r="CT133" s="14">
        <v>178198.29</v>
      </c>
      <c r="CU133" s="14"/>
      <c r="CV133" s="14"/>
      <c r="CW133" s="14">
        <v>165155.72</v>
      </c>
      <c r="CX133" s="14"/>
      <c r="CY133" s="14"/>
      <c r="CZ133" s="14">
        <v>178198.29</v>
      </c>
      <c r="DA133" s="14"/>
      <c r="DB133" s="14"/>
      <c r="DC133" s="14">
        <v>436457.53</v>
      </c>
      <c r="DD133" s="14"/>
      <c r="DE133" s="14"/>
      <c r="DF133" s="14">
        <v>7679536.8700000001</v>
      </c>
      <c r="DG133" s="14"/>
      <c r="DH133" s="14"/>
      <c r="DI133" s="14">
        <v>259964.05</v>
      </c>
      <c r="DJ133" s="14"/>
      <c r="DK133" s="14"/>
      <c r="DL133" s="14">
        <v>7647827.2199999997</v>
      </c>
      <c r="DM133" s="14">
        <v>118631327.93000001</v>
      </c>
      <c r="DN133" s="14">
        <v>617077.92000000004</v>
      </c>
      <c r="DO133" s="14">
        <v>113987.24</v>
      </c>
      <c r="DP133" s="14">
        <v>376.63</v>
      </c>
      <c r="DQ133" s="14">
        <v>7631920.3499999996</v>
      </c>
      <c r="DR133" s="14">
        <v>3595</v>
      </c>
      <c r="DS133" s="14">
        <v>7754.1</v>
      </c>
      <c r="DT133" s="5"/>
      <c r="DU133" s="5"/>
      <c r="DV133" s="5"/>
      <c r="DW133" s="5"/>
    </row>
  </sheetData>
  <autoFilter ref="A2:DW133"/>
  <phoneticPr fontId="18" type="noConversion"/>
  <pageMargins left="0.7" right="0.7" top="0.75" bottom="0.75" header="0.3" footer="0.3"/>
  <pageSetup paperSize="9" orientation="portrait" horizontalDpi="1200" verticalDpi="1200"/>
  <headerFooter>
    <oddHeader>&amp;L&amp;"Calibri"&amp;12&amp;K8E6A00Confidential&amp;1#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068C099D422934082BCF177A0F0ABA7" ma:contentTypeVersion="7" ma:contentTypeDescription="新建文档。" ma:contentTypeScope="" ma:versionID="41a3b9def71d2b173f8c67861ba19e96">
  <xsd:schema xmlns:xsd="http://www.w3.org/2001/XMLSchema" xmlns:xs="http://www.w3.org/2001/XMLSchema" xmlns:p="http://schemas.microsoft.com/office/2006/metadata/properties" xmlns:ns2="d14f9264-6ca6-44b5-9577-697a67ae9283" targetNamespace="http://schemas.microsoft.com/office/2006/metadata/properties" ma:root="true" ma:fieldsID="a41204ecafb3ed5892ba0dd593b846cf" ns2:_="">
    <xsd:import namespace="d14f9264-6ca6-44b5-9577-697a67ae9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f9264-6ca6-44b5-9577-697a67ae9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52E94F-4EA3-4058-9376-30B70C2EC7A7}">
  <ds:schemaRefs/>
</ds:datastoreItem>
</file>

<file path=customXml/itemProps2.xml><?xml version="1.0" encoding="utf-8"?>
<ds:datastoreItem xmlns:ds="http://schemas.openxmlformats.org/officeDocument/2006/customXml" ds:itemID="{BC6B4996-2DC3-4C48-A04E-599329B758A9}">
  <ds:schemaRefs/>
</ds:datastoreItem>
</file>

<file path=customXml/itemProps3.xml><?xml version="1.0" encoding="utf-8"?>
<ds:datastoreItem xmlns:ds="http://schemas.openxmlformats.org/officeDocument/2006/customXml" ds:itemID="{520DEC96-D88D-44DC-80CC-AB7655983F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Check Result</vt:lpstr>
      <vt:lpstr>HC Check</vt:lpstr>
      <vt:lpstr>Feb for check</vt:lpstr>
    </vt:vector>
  </TitlesOfParts>
  <Company>ADPChina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OneHR</dc:subject>
  <dc:creator>NPOI</dc:creator>
  <cp:lastModifiedBy>imax</cp:lastModifiedBy>
  <dcterms:created xsi:type="dcterms:W3CDTF">2023-08-17T13:44:00Z</dcterms:created>
  <dcterms:modified xsi:type="dcterms:W3CDTF">2025-11-26T07:09:06Z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2c56a699-e9bd-437a-8412-901342082749_Enabled">
    <vt:lpwstr>true</vt:lpwstr>
  </property>
  <property fmtid="{D5CDD505-2E9C-101B-9397-08002B2CF9AE}" pid="5" name="MSIP_Label_2c56a699-e9bd-437a-8412-901342082749_SetDate">
    <vt:lpwstr>2023-08-17T06:14:17Z</vt:lpwstr>
  </property>
  <property fmtid="{D5CDD505-2E9C-101B-9397-08002B2CF9AE}" pid="6" name="MSIP_Label_2c56a699-e9bd-437a-8412-901342082749_Method">
    <vt:lpwstr>Privileged</vt:lpwstr>
  </property>
  <property fmtid="{D5CDD505-2E9C-101B-9397-08002B2CF9AE}" pid="7" name="MSIP_Label_2c56a699-e9bd-437a-8412-901342082749_Name">
    <vt:lpwstr>2c56a699-e9bd-437a-8412-901342082749</vt:lpwstr>
  </property>
  <property fmtid="{D5CDD505-2E9C-101B-9397-08002B2CF9AE}" pid="8" name="MSIP_Label_2c56a699-e9bd-437a-8412-901342082749_SiteId">
    <vt:lpwstr>a00de4ec-48a8-43a6-be74-e31274e2060d</vt:lpwstr>
  </property>
  <property fmtid="{D5CDD505-2E9C-101B-9397-08002B2CF9AE}" pid="9" name="MSIP_Label_2c56a699-e9bd-437a-8412-901342082749_ActionId">
    <vt:lpwstr>cc45b090-83e8-4d12-a07e-7a03fe42faa4</vt:lpwstr>
  </property>
  <property fmtid="{D5CDD505-2E9C-101B-9397-08002B2CF9AE}" pid="10" name="MSIP_Label_2c56a699-e9bd-437a-8412-901342082749_ContentBits">
    <vt:lpwstr>1</vt:lpwstr>
  </property>
  <property fmtid="{D5CDD505-2E9C-101B-9397-08002B2CF9AE}" pid="11" name="MerckAIPLabel">
    <vt:lpwstr>Confidential</vt:lpwstr>
  </property>
  <property fmtid="{D5CDD505-2E9C-101B-9397-08002B2CF9AE}" pid="12" name="MerckAIPDataExchange">
    <vt:lpwstr>!MRKMIP@Confidential</vt:lpwstr>
  </property>
  <property fmtid="{D5CDD505-2E9C-101B-9397-08002B2CF9AE}" pid="13" name="_AdHocReviewCycleID">
    <vt:i4>-1100955372</vt:i4>
  </property>
  <property fmtid="{D5CDD505-2E9C-101B-9397-08002B2CF9AE}" pid="14" name="_NewReviewCycle">
    <vt:lpwstr/>
  </property>
  <property fmtid="{D5CDD505-2E9C-101B-9397-08002B2CF9AE}" pid="15" name="_EmailSubject">
    <vt:lpwstr>HK Payroll Input &amp; Validation Requirement</vt:lpwstr>
  </property>
  <property fmtid="{D5CDD505-2E9C-101B-9397-08002B2CF9AE}" pid="16" name="_AuthorEmail">
    <vt:lpwstr>aileen.lv@merck.com</vt:lpwstr>
  </property>
  <property fmtid="{D5CDD505-2E9C-101B-9397-08002B2CF9AE}" pid="17" name="_AuthorEmailDisplayName">
    <vt:lpwstr>Lv, Aileen</vt:lpwstr>
  </property>
  <property fmtid="{D5CDD505-2E9C-101B-9397-08002B2CF9AE}" pid="18" name="ContentTypeId">
    <vt:lpwstr>0x010100A068C099D422934082BCF177A0F0ABA7</vt:lpwstr>
  </property>
  <property fmtid="{D5CDD505-2E9C-101B-9397-08002B2CF9AE}" pid="19" name="ICV">
    <vt:lpwstr>C97C397581414AE5B3D854A005FACBE7_13</vt:lpwstr>
  </property>
  <property fmtid="{D5CDD505-2E9C-101B-9397-08002B2CF9AE}" pid="20" name="KSOProductBuildVer">
    <vt:lpwstr>2052-12.1.0.23125</vt:lpwstr>
  </property>
</Properties>
</file>